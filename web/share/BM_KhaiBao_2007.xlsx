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60" windowWidth="19200" windowHeight="10950" tabRatio="929"/>
  </bookViews>
  <sheets>
    <sheet name="Ban_Cong_bo" sheetId="1" r:id="rId1"/>
    <sheet name="Chi_tiet_san_pham" sheetId="2" r:id="rId2"/>
    <sheet name="Chi_tieu_chat_luong_chu_yeu" sheetId="5" r:id="rId3"/>
    <sheet name="Chi_tieu_vi_sinh_vat" sheetId="6" r:id="rId4"/>
    <sheet name="Ham_luong_kim_loai_nang" sheetId="7" r:id="rId5"/>
    <sheet name="Ham_luong_hoa_chat" sheetId="8" r:id="rId6"/>
    <sheet name="Ke_Hoach_Kiem_soat" sheetId="3" state="hidden" r:id="rId7"/>
    <sheet name="Danh_muc" sheetId="4" state="hidden" r:id="rId8"/>
  </sheets>
  <calcPr calcId="124519"/>
</workbook>
</file>

<file path=xl/calcChain.xml><?xml version="1.0" encoding="utf-8"?>
<calcChain xmlns="http://schemas.openxmlformats.org/spreadsheetml/2006/main">
  <c r="C13" i="1"/>
  <c r="C14" l="1"/>
  <c r="C15"/>
  <c r="C16"/>
  <c r="C17"/>
  <c r="C18"/>
  <c r="C19"/>
  <c r="E20" i="8" l="1"/>
  <c r="E19"/>
  <c r="E18"/>
  <c r="E17"/>
  <c r="E16"/>
  <c r="E15"/>
  <c r="E12"/>
  <c r="E11"/>
  <c r="E10"/>
  <c r="E9"/>
  <c r="E8"/>
  <c r="E7"/>
  <c r="E6"/>
  <c r="E5"/>
  <c r="E4"/>
  <c r="E3"/>
  <c r="E21" i="7"/>
  <c r="E20"/>
  <c r="E19"/>
  <c r="E18"/>
  <c r="E17"/>
  <c r="E16"/>
  <c r="E15"/>
  <c r="E14"/>
  <c r="E13"/>
  <c r="E12"/>
  <c r="E11"/>
  <c r="E10"/>
  <c r="E9"/>
  <c r="E8"/>
  <c r="E7"/>
  <c r="E6"/>
  <c r="E5"/>
  <c r="E4"/>
  <c r="E3"/>
  <c r="E21" i="6"/>
  <c r="E20"/>
  <c r="E19"/>
  <c r="E18"/>
  <c r="E17"/>
  <c r="E16"/>
  <c r="E15"/>
  <c r="E14"/>
  <c r="E13"/>
  <c r="E12"/>
  <c r="E11"/>
  <c r="E10"/>
  <c r="E9"/>
  <c r="E8"/>
  <c r="E7"/>
  <c r="E6"/>
  <c r="E5"/>
  <c r="E4"/>
  <c r="E3"/>
  <c r="F21" i="5"/>
  <c r="F20"/>
  <c r="F19"/>
  <c r="F18"/>
  <c r="F17"/>
  <c r="F16"/>
  <c r="F15"/>
  <c r="F14"/>
  <c r="F13"/>
  <c r="F12"/>
  <c r="F11"/>
  <c r="F10"/>
  <c r="F9"/>
  <c r="F8"/>
  <c r="F7"/>
  <c r="F6"/>
  <c r="F5"/>
  <c r="F4"/>
  <c r="F3"/>
  <c r="E2" i="2" l="1"/>
</calcChain>
</file>

<file path=xl/comments1.xml><?xml version="1.0" encoding="utf-8"?>
<comments xmlns="http://schemas.openxmlformats.org/spreadsheetml/2006/main">
  <authors>
    <author>ThuyNTT</author>
    <author>ducduit</author>
  </authors>
  <commentList>
    <comment ref="B2" authorId="0">
      <text>
        <r>
          <rPr>
            <b/>
            <sz val="9"/>
            <color indexed="81"/>
            <rFont val="Tahoma"/>
            <family val="2"/>
          </rPr>
          <t>Cục ATTP:</t>
        </r>
        <r>
          <rPr>
            <sz val="9"/>
            <color indexed="81"/>
            <rFont val="Tahoma"/>
            <family val="2"/>
          </rPr>
          <t xml:space="preserve">
Nhập Mã số thuế doanh nghiệp tại đây</t>
        </r>
      </text>
    </comment>
    <comment ref="D11" authorId="1">
      <text>
        <r>
          <rPr>
            <b/>
            <sz val="9"/>
            <color indexed="81"/>
            <rFont val="Tahoma"/>
            <family val="2"/>
          </rPr>
          <t>Cục ATTP:</t>
        </r>
        <r>
          <rPr>
            <sz val="9"/>
            <color indexed="81"/>
            <rFont val="Tahoma"/>
            <family val="2"/>
          </rPr>
          <t xml:space="preserve">
Ngày công bố theo định dạng:
</t>
        </r>
        <r>
          <rPr>
            <b/>
            <sz val="9"/>
            <color indexed="81"/>
            <rFont val="Tahoma"/>
            <family val="2"/>
          </rPr>
          <t>dd/MM/yyyy</t>
        </r>
        <r>
          <rPr>
            <sz val="9"/>
            <color indexed="81"/>
            <rFont val="Tahoma"/>
            <family val="2"/>
          </rPr>
          <t xml:space="preserve">
Ví dụ:
20/10/2014
(Chú ý nhập sai định dạng hệ thống không thể nhập thông tin vào hệ thống)</t>
        </r>
      </text>
    </comment>
    <comment ref="D12" authorId="0">
      <text>
        <r>
          <rPr>
            <b/>
            <sz val="9"/>
            <color indexed="81"/>
            <rFont val="Tahoma"/>
            <family val="2"/>
          </rPr>
          <t>Cục ATTP:</t>
        </r>
        <r>
          <rPr>
            <sz val="9"/>
            <color indexed="81"/>
            <rFont val="Tahoma"/>
            <family val="2"/>
          </rPr>
          <t xml:space="preserve">
Áp dụng đối với hồ sơ xin cấp giấy tiếp nhận công bố hợp quy</t>
        </r>
      </text>
    </comment>
    <comment ref="A13" authorId="0">
      <text>
        <r>
          <rPr>
            <b/>
            <sz val="9"/>
            <color indexed="81"/>
            <rFont val="Tahoma"/>
            <family val="2"/>
          </rPr>
          <t>Cục ATTP:</t>
        </r>
        <r>
          <rPr>
            <sz val="9"/>
            <color indexed="81"/>
            <rFont val="Tahoma"/>
            <family val="2"/>
          </rPr>
          <t xml:space="preserve">
Có thể chọn nhiều QCKT/QĐATTP. Mỗi ô chọn 1 QCKT, xuống ô bên dưới nếu muốn chọn thêm quy chuẩn.</t>
        </r>
      </text>
    </comment>
    <comment ref="B13" authorId="1">
      <text>
        <r>
          <rPr>
            <b/>
            <sz val="9"/>
            <color indexed="81"/>
            <rFont val="Tahoma"/>
            <family val="2"/>
          </rPr>
          <t xml:space="preserve">Cục ATTP:
</t>
        </r>
        <r>
          <rPr>
            <sz val="9"/>
            <color indexed="81"/>
            <rFont val="Tahoma"/>
            <family val="2"/>
          </rPr>
          <t>- Nếu QCKT doanh nghiệp cần chọn không có trong danh sách có sẵn này thì có thể chưa cần chọn gì ở đây, sau khi nhập dữ liệu từ file excel này lên web thì có thể chọn bổ sung QCKT có sẵn trên web.
- Dữ liệu cần chọn lần lượt từ ô trên đầu xuống không để ô trống ở giữa</t>
        </r>
      </text>
    </comment>
  </commentList>
</comments>
</file>

<file path=xl/comments2.xml><?xml version="1.0" encoding="utf-8"?>
<comments xmlns="http://schemas.openxmlformats.org/spreadsheetml/2006/main">
  <authors>
    <author>GUONGVT</author>
  </authors>
  <commentList>
    <comment ref="D18" authorId="0">
      <text>
        <r>
          <rPr>
            <b/>
            <sz val="9"/>
            <color indexed="81"/>
            <rFont val="Tahoma"/>
            <family val="2"/>
          </rPr>
          <t>Cục ATTP:</t>
        </r>
        <r>
          <rPr>
            <sz val="9"/>
            <color indexed="81"/>
            <rFont val="Tahoma"/>
            <family val="2"/>
          </rPr>
          <t xml:space="preserve">
Nếu quy trình là tài liệu đính kèm thì ghi " Như tài liệu đính kèm"</t>
        </r>
      </text>
    </comment>
  </commentList>
</comments>
</file>

<file path=xl/comments3.xml><?xml version="1.0" encoding="utf-8"?>
<comments xmlns="http://schemas.openxmlformats.org/spreadsheetml/2006/main">
  <authors>
    <author>gpcp_dund1</author>
    <author>GUONGVT</author>
  </authors>
  <commentList>
    <comment ref="A1" authorId="0">
      <text>
        <r>
          <rPr>
            <b/>
            <sz val="9"/>
            <color indexed="81"/>
            <rFont val="Tahoma"/>
            <family val="2"/>
          </rPr>
          <t>Cục ATTP:</t>
        </r>
        <r>
          <rPr>
            <sz val="9"/>
            <color indexed="81"/>
            <rFont val="Tahoma"/>
            <family val="2"/>
          </rPr>
          <t xml:space="preserve">
Dữ liệu cần chọn lần lượt từ ô trên đầu xuống không để hàng trống ở giữa</t>
        </r>
      </text>
    </comment>
    <comment ref="B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E3" authorId="1">
      <text>
        <r>
          <rPr>
            <b/>
            <sz val="9"/>
            <color indexed="81"/>
            <rFont val="Tahoma"/>
            <family val="2"/>
          </rPr>
          <t>Cục ATTP:</t>
        </r>
        <r>
          <rPr>
            <sz val="9"/>
            <color indexed="81"/>
            <rFont val="Tahoma"/>
            <family val="2"/>
          </rPr>
          <t xml:space="preserve">
Áp dụng với các TP chức năng</t>
        </r>
      </text>
    </comment>
  </commentList>
</comments>
</file>

<file path=xl/comments4.xml><?xml version="1.0" encoding="utf-8"?>
<comments xmlns="http://schemas.openxmlformats.org/spreadsheetml/2006/main">
  <authors>
    <author>gpcp_dund1</author>
    <author>GUONGVT</author>
  </authors>
  <commentList>
    <comment ref="A1" author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 ref="B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List>
</comments>
</file>

<file path=xl/comments5.xml><?xml version="1.0" encoding="utf-8"?>
<comments xmlns="http://schemas.openxmlformats.org/spreadsheetml/2006/main">
  <authors>
    <author>gpcp_dund1</author>
    <author>GUONGVT</author>
  </authors>
  <commentList>
    <comment ref="A1" author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 ref="B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List>
</comments>
</file>

<file path=xl/comments6.xml><?xml version="1.0" encoding="utf-8"?>
<comments xmlns="http://schemas.openxmlformats.org/spreadsheetml/2006/main">
  <authors>
    <author>gpcp_dund1</author>
    <author>GUONGVT</author>
  </authors>
  <commentList>
    <comment ref="A1" author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 ref="B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text>
        <r>
          <rPr>
            <sz val="9"/>
            <color indexed="81"/>
            <rFont val="Tahoma"/>
            <family val="2"/>
          </rPr>
          <t>Cục ATTP:
Nếu có chỉ số trên (dưới) thì phải sử dụng công cụ hỗ trợ nhập trên web nên có thể điền sau, không dùng được định dạng trong excel</t>
        </r>
      </text>
    </comment>
  </commentList>
</comments>
</file>

<file path=xl/comments7.xml><?xml version="1.0" encoding="utf-8"?>
<comments xmlns="http://schemas.openxmlformats.org/spreadsheetml/2006/main">
  <authors>
    <author>gpcp_dund1</author>
  </authors>
  <commentList>
    <comment ref="A1" author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List>
</comments>
</file>

<file path=xl/sharedStrings.xml><?xml version="1.0" encoding="utf-8"?>
<sst xmlns="http://schemas.openxmlformats.org/spreadsheetml/2006/main" count="1707" uniqueCount="1279">
  <si>
    <t>Xuất xứ</t>
  </si>
  <si>
    <t>Thông tin công bố</t>
  </si>
  <si>
    <t>Quy chuẩn kỹ thuật quốc gia</t>
  </si>
  <si>
    <t>Thông tin chung</t>
  </si>
  <si>
    <t xml:space="preserve">Chỉ tiêu cảm quan </t>
  </si>
  <si>
    <t xml:space="preserve">Chỉ tiêu chất lượng chủ yếu </t>
  </si>
  <si>
    <t>STT</t>
  </si>
  <si>
    <t xml:space="preserve">Mức đáp ứng/khẩu phần ăn </t>
  </si>
  <si>
    <t>Thông tin khác</t>
  </si>
  <si>
    <t>Chỉ tiêu vi sinh vật</t>
  </si>
  <si>
    <t>Hàm lượng kim loại nặng</t>
  </si>
  <si>
    <t>Hàm lượng hóa chất không mong muốn</t>
  </si>
  <si>
    <t>Kế hoạch kiểm soát chất lượng</t>
  </si>
  <si>
    <t>Các chỉ tiêu kiểm soát</t>
  </si>
  <si>
    <t>Quy định kỹ thuật</t>
  </si>
  <si>
    <t>Tần suất lấy mẫu/cỡ mẫu</t>
  </si>
  <si>
    <t>Thiết bị thử nghiệm/ kiểm tra</t>
  </si>
  <si>
    <t>Phương pháp thử/ kiểm tra</t>
  </si>
  <si>
    <t>Biểu ghi chép</t>
  </si>
  <si>
    <t>Ghi chú</t>
  </si>
  <si>
    <t>QCVN 11-3:2012/BYT</t>
  </si>
  <si>
    <t>QCVN 11-2:2012/BYT</t>
  </si>
  <si>
    <t>QCVN 11-1:2012/BYT</t>
  </si>
  <si>
    <t>QCVN 5-1: 2010/BYT</t>
  </si>
  <si>
    <t>QCVN 5-2: 2010/BYT</t>
  </si>
  <si>
    <t>QCVN 5-3: 2010/BYT</t>
  </si>
  <si>
    <t>QCVN 5-4: 2010/BYT</t>
  </si>
  <si>
    <t>QCVN 5-5: 2010/BYT</t>
  </si>
  <si>
    <t>QCVN 6-1: 2010/BYT</t>
  </si>
  <si>
    <t>QCVN 6-2: 2010/BYT</t>
  </si>
  <si>
    <t>QCVN 6-3: 2010/BYT</t>
  </si>
  <si>
    <t>QCVN 10:2011/BYT</t>
  </si>
  <si>
    <t>QCVN 01:2009/BYT</t>
  </si>
  <si>
    <t>QCVN 02:2009/BYT</t>
  </si>
  <si>
    <t>QCVN 3-1:2010/BYT</t>
  </si>
  <si>
    <t>QCVN 3-2:2010/BYT</t>
  </si>
  <si>
    <t>QCVN 3-3:2010/BYT</t>
  </si>
  <si>
    <t>QCVN 3-4:2010/BYT</t>
  </si>
  <si>
    <t>QCVN 9-1:2011/BYT</t>
  </si>
  <si>
    <t>QCVN 9-2:2011/BYT</t>
  </si>
  <si>
    <t>QCVN 8-1:2011/BYT</t>
  </si>
  <si>
    <t>QCVN 8-2:2011/BYT</t>
  </si>
  <si>
    <t>QCVN 8-3:2011/BYT</t>
  </si>
  <si>
    <t>QCVN 4-1:2010/BYT</t>
  </si>
  <si>
    <t>QCVN 4-2:2010/BYT</t>
  </si>
  <si>
    <t>QCVN 4-3:2010/BYT</t>
  </si>
  <si>
    <t>QCVN 4-4:2010/BYT</t>
  </si>
  <si>
    <t>QCVN 4-5:2010/BYT</t>
  </si>
  <si>
    <t>QCVN 4-6:2010/BYT</t>
  </si>
  <si>
    <t>QCVN 4-7:2010/BYT</t>
  </si>
  <si>
    <t>QCVN 4-8:2010/BYT</t>
  </si>
  <si>
    <t>QCVN 4-9:2010/BYT</t>
  </si>
  <si>
    <t>QCVN 4-10:2010/BYT</t>
  </si>
  <si>
    <t>QCVN 4-12:2010/BYT</t>
  </si>
  <si>
    <t>QCVN 4-13:2010/BYT</t>
  </si>
  <si>
    <t>QCVN 4-14:2010/BYT</t>
  </si>
  <si>
    <t>QCVN 4-15:2010/BYT</t>
  </si>
  <si>
    <t>QCVN 4-16:2010/BYT</t>
  </si>
  <si>
    <t>QCVN 4-17:2010/BYT</t>
  </si>
  <si>
    <t>QCVN 4-22:2010/BYT</t>
  </si>
  <si>
    <t>QCVN 12-1:2011/BYT</t>
  </si>
  <si>
    <t>QCVN 12-2:2011/BYT</t>
  </si>
  <si>
    <t>QCVN 12-3:2011/BYT</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</si>
  <si>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</si>
  <si>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</si>
  <si>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</si>
  <si>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</si>
  <si>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</si>
  <si>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</si>
  <si>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</si>
  <si>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</si>
  <si>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</si>
  <si>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</si>
  <si>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</si>
  <si>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</si>
  <si>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</si>
  <si>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</si>
  <si>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</si>
  <si>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</si>
  <si>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</si>
  <si>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</si>
  <si>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</si>
  <si>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</si>
  <si>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</si>
  <si>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</si>
  <si>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</si>
  <si>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</si>
  <si>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</si>
  <si>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</si>
  <si>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</si>
  <si>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</si>
  <si>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</si>
  <si>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</si>
  <si>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</si>
  <si>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</si>
  <si>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</si>
  <si>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</si>
  <si>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</si>
  <si>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</si>
  <si>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</si>
  <si>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</si>
  <si>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</si>
  <si>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</si>
  <si>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</si>
  <si>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</si>
  <si>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</si>
  <si>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</si>
  <si>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</si>
  <si>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</si>
  <si>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</si>
  <si>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</si>
  <si>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</si>
  <si>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</si>
  <si>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 Democratic Republic of</t>
  </si>
  <si>
    <t>Cook Islands</t>
  </si>
  <si>
    <t>Costa Rica</t>
  </si>
  <si>
    <t>Cote d'Ivoire</t>
  </si>
  <si>
    <t>Croatia</t>
  </si>
  <si>
    <t>Cuba</t>
  </si>
  <si>
    <t>Cyprus</t>
  </si>
  <si>
    <t>Czech Republic</t>
  </si>
  <si>
    <t>Denmark</t>
  </si>
  <si>
    <t>Djibouti</t>
  </si>
  <si>
    <t>Dominica</t>
  </si>
  <si>
    <t>Dominican Republic</t>
  </si>
  <si>
    <t>East Timor</t>
  </si>
  <si>
    <t>Ecuador</t>
  </si>
  <si>
    <t>Egypt</t>
  </si>
  <si>
    <t>El Salvador</t>
  </si>
  <si>
    <t>Equitorial Guinea</t>
  </si>
  <si>
    <t>Eritrea</t>
  </si>
  <si>
    <t>Estonia</t>
  </si>
  <si>
    <t>Ethiopia</t>
  </si>
  <si>
    <t>Falkland Islands (Islas Malvinas)</t>
  </si>
  <si>
    <t>Faroe Islands</t>
  </si>
  <si>
    <t>Fiji</t>
  </si>
  <si>
    <t>Finland</t>
  </si>
  <si>
    <t>France</t>
  </si>
  <si>
    <t>French Guyana</t>
  </si>
  <si>
    <t>French Polynesia</t>
  </si>
  <si>
    <t>French Southern and Antarctic Lands</t>
  </si>
  <si>
    <t>Gabon</t>
  </si>
  <si>
    <t>Gambia</t>
  </si>
  <si>
    <t>Gaza Strip</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</si>
  <si>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</si>
  <si>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</si>
  <si>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</si>
  <si>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</si>
  <si>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</si>
  <si>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</si>
  <si>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</si>
  <si>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</si>
  <si>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</si>
  <si>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</si>
  <si>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</si>
  <si>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</si>
  <si>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</si>
  <si>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</si>
  <si>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</si>
  <si>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</si>
  <si>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</si>
  <si>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</si>
  <si>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</si>
  <si>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</si>
  <si>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</si>
  <si>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</si>
  <si>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</si>
  <si>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</si>
  <si>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</si>
  <si>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</si>
  <si>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</si>
  <si>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</si>
  <si>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</si>
  <si>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</si>
  <si>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</si>
  <si>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</si>
  <si>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</si>
  <si>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</si>
  <si>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</si>
  <si>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</si>
  <si>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Kuwait</t>
  </si>
  <si>
    <t>Kyrgyzstan</t>
  </si>
  <si>
    <t>Laos</t>
  </si>
  <si>
    <t>Latvia</t>
  </si>
  <si>
    <t>Lebanon</t>
  </si>
  <si>
    <t>Lesotho</t>
  </si>
  <si>
    <t>Liberia</t>
  </si>
  <si>
    <t>Libya</t>
  </si>
  <si>
    <t>Liechtenstein</t>
  </si>
  <si>
    <t>Lithuania</t>
  </si>
  <si>
    <t>Luxembourg</t>
  </si>
  <si>
    <t>Macau</t>
  </si>
  <si>
    <t>Macedonia - The Former Yugoslav Republic of</t>
  </si>
  <si>
    <t>Madagascar</t>
  </si>
  <si>
    <t>Malawi</t>
  </si>
  <si>
    <t>Malaysia</t>
  </si>
  <si>
    <t>Maldives</t>
  </si>
  <si>
    <t>Mali</t>
  </si>
  <si>
    <t>Malta</t>
  </si>
  <si>
    <t>Marshall Islands</t>
  </si>
  <si>
    <t>Martinique</t>
  </si>
  <si>
    <t>Mauritania</t>
  </si>
  <si>
    <t>Mauritius</t>
  </si>
  <si>
    <t>Mayotte</t>
  </si>
  <si>
    <t>Mexico</t>
  </si>
  <si>
    <t>Micronesia - Federated States of</t>
  </si>
  <si>
    <t>Moldova</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</si>
  <si>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</si>
  <si>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</si>
  <si>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</si>
  <si>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</si>
  <si>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</si>
  <si>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</si>
  <si>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</si>
  <si>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</si>
  <si>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</si>
  <si>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</si>
  <si>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</si>
  <si>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</si>
  <si>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</si>
  <si>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</si>
  <si>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</si>
  <si>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</si>
  <si>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</si>
  <si>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</si>
  <si>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</si>
  <si>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North Korea</t>
  </si>
  <si>
    <t>Norway</t>
  </si>
  <si>
    <t>Oman</t>
  </si>
  <si>
    <t>Pakistan</t>
  </si>
  <si>
    <t>Palau</t>
  </si>
  <si>
    <t>Panama</t>
  </si>
  <si>
    <t>Papua New Guinea</t>
  </si>
  <si>
    <t>Paraguay</t>
  </si>
  <si>
    <t>Peru</t>
  </si>
  <si>
    <t>Philippines</t>
  </si>
  <si>
    <t>Pitcairn Islands</t>
  </si>
  <si>
    <t>Poland</t>
  </si>
  <si>
    <t>Portugal</t>
  </si>
  <si>
    <t>Puerto Rico</t>
  </si>
  <si>
    <t>Qatar</t>
  </si>
  <si>
    <t>Reunion</t>
  </si>
  <si>
    <t>Romania</t>
  </si>
  <si>
    <t>Russia</t>
  </si>
  <si>
    <t>Rwanda</t>
  </si>
  <si>
    <t>Saint Kitts and Nevis</t>
  </si>
  <si>
    <t>Saint Lucia</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</si>
  <si>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</si>
  <si>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</si>
  <si>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</si>
  <si>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</si>
  <si>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</si>
  <si>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</si>
  <si>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</si>
  <si>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</si>
  <si>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</si>
  <si>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</si>
  <si>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</si>
  <si>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</si>
  <si>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</si>
  <si>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</si>
  <si>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</si>
  <si>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</si>
  <si>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South Korea</t>
  </si>
  <si>
    <t>Spain</t>
  </si>
  <si>
    <t>Sri Lanka</t>
  </si>
  <si>
    <t>St. Helena</t>
  </si>
  <si>
    <t>St. Pierre and Miquelon</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</si>
  <si>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</si>
  <si>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</si>
  <si>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</si>
  <si>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</si>
  <si>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</si>
  <si>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</si>
  <si>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</si>
  <si>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</si>
  <si>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</si>
  <si>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</si>
  <si>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</si>
  <si>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</si>
  <si>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</si>
  <si>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</si>
  <si>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</si>
  <si>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</si>
  <si>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</si>
  <si>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</si>
  <si>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</si>
  <si>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</si>
  <si>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</si>
  <si>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</si>
  <si>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</si>
  <si>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</si>
  <si>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</si>
  <si>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</si>
  <si>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</si>
  <si>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United States Virgin Islands</t>
  </si>
  <si>
    <t>Uruguay</t>
  </si>
  <si>
    <t>Uzbekistan</t>
  </si>
  <si>
    <t>Vanuatu</t>
  </si>
  <si>
    <t>Venezuela</t>
  </si>
  <si>
    <t>Vietnam</t>
  </si>
  <si>
    <t>Wallis and Futuna</t>
  </si>
  <si>
    <t>West Bank</t>
  </si>
  <si>
    <t>Western Sahara</t>
  </si>
  <si>
    <t>Yemen</t>
  </si>
  <si>
    <t>Zambia</t>
  </si>
  <si>
    <t>Zimbabwe</t>
  </si>
  <si>
    <t>Quốc Gia</t>
  </si>
  <si>
    <t>%</t>
  </si>
  <si>
    <t>PCT</t>
  </si>
  <si>
    <t>µg</t>
  </si>
  <si>
    <t>MCGR</t>
  </si>
  <si>
    <t>gram</t>
  </si>
  <si>
    <t>GRAM</t>
  </si>
  <si>
    <t>kg</t>
  </si>
  <si>
    <t>KLGRM</t>
  </si>
  <si>
    <t>ml</t>
  </si>
  <si>
    <t>MILILT</t>
  </si>
  <si>
    <t>l</t>
  </si>
  <si>
    <t>LIT</t>
  </si>
  <si>
    <t>mg/kg</t>
  </si>
  <si>
    <t>MCPKQ</t>
  </si>
  <si>
    <t>CFU/ml</t>
  </si>
  <si>
    <t>CFUPML</t>
  </si>
  <si>
    <t>CFU/g</t>
  </si>
  <si>
    <t>CFUPG</t>
  </si>
  <si>
    <t>mg/l</t>
  </si>
  <si>
    <t>MLPLT</t>
  </si>
  <si>
    <t>Bq/l</t>
  </si>
  <si>
    <t>BQPLT</t>
  </si>
  <si>
    <t>ppb</t>
  </si>
  <si>
    <t>TCU</t>
  </si>
  <si>
    <t>NTU</t>
  </si>
  <si>
    <t>mg/100 kcal</t>
  </si>
  <si>
    <t>mgp100kcl</t>
  </si>
  <si>
    <t>mg/100 kJ</t>
  </si>
  <si>
    <t>mgp100kj</t>
  </si>
  <si>
    <t>%/lipid</t>
  </si>
  <si>
    <t>PPLP</t>
  </si>
  <si>
    <t>g/100 kJ</t>
  </si>
  <si>
    <t>gp100KJ</t>
  </si>
  <si>
    <t>µg/100 kJ</t>
  </si>
  <si>
    <t>mcgp100kJ</t>
  </si>
  <si>
    <t>mg/100G</t>
  </si>
  <si>
    <t>kclp100ml</t>
  </si>
  <si>
    <t>kjp100ml</t>
  </si>
  <si>
    <t>µg RE /100 kcal</t>
  </si>
  <si>
    <t>mcrep100kcl</t>
  </si>
  <si>
    <t>mg/viên</t>
  </si>
  <si>
    <t>mgpball</t>
  </si>
  <si>
    <t>µg/viên</t>
  </si>
  <si>
    <t>mcpball</t>
  </si>
  <si>
    <t>Đơn vị tính</t>
  </si>
  <si>
    <t>Tỉnh/ thành phố</t>
  </si>
  <si>
    <t xml:space="preserve">An Giang                           </t>
  </si>
  <si>
    <t xml:space="preserve">Bắc Cạn                             </t>
  </si>
  <si>
    <t xml:space="preserve">Bình Dương                       </t>
  </si>
  <si>
    <t xml:space="preserve">Bình Định                          </t>
  </si>
  <si>
    <t xml:space="preserve">Bắc Giang                          </t>
  </si>
  <si>
    <t xml:space="preserve">Bạc Liêu                            </t>
  </si>
  <si>
    <t xml:space="preserve">Bắc Ninh                            </t>
  </si>
  <si>
    <t xml:space="preserve">Bình Phước                        </t>
  </si>
  <si>
    <t xml:space="preserve">Bến Tre                              </t>
  </si>
  <si>
    <t xml:space="preserve">Bình Thuận                        </t>
  </si>
  <si>
    <t xml:space="preserve">Bà rịa-Vũng tàu                 </t>
  </si>
  <si>
    <t xml:space="preserve">Cao Bằng                           </t>
  </si>
  <si>
    <t xml:space="preserve">Cà Mau                              </t>
  </si>
  <si>
    <t xml:space="preserve">Cần Thơ                             </t>
  </si>
  <si>
    <t xml:space="preserve">Đà Nẵng                            </t>
  </si>
  <si>
    <t xml:space="preserve">Đắc Lắc                             </t>
  </si>
  <si>
    <t xml:space="preserve">Đắc Nông                          </t>
  </si>
  <si>
    <t xml:space="preserve">Điện Biên                          </t>
  </si>
  <si>
    <t xml:space="preserve">Đồng Nai                           </t>
  </si>
  <si>
    <t xml:space="preserve">Đồng Tháp                        </t>
  </si>
  <si>
    <t xml:space="preserve">Gia Lai                              </t>
  </si>
  <si>
    <t xml:space="preserve">Hà Giang                           </t>
  </si>
  <si>
    <t xml:space="preserve">Hà Nam                             </t>
  </si>
  <si>
    <t xml:space="preserve">Hà Nội                               </t>
  </si>
  <si>
    <t xml:space="preserve">Hà Tĩnh                             </t>
  </si>
  <si>
    <t xml:space="preserve">Hải Dương                         </t>
  </si>
  <si>
    <t xml:space="preserve">Hải Phòng                          </t>
  </si>
  <si>
    <t xml:space="preserve">Hậu Giang                         </t>
  </si>
  <si>
    <t xml:space="preserve">Hoà Bình                            </t>
  </si>
  <si>
    <t xml:space="preserve">Hưng Yên                           </t>
  </si>
  <si>
    <t xml:space="preserve">Kiên Giang                         </t>
  </si>
  <si>
    <t xml:space="preserve">Khánh Hoà                             </t>
  </si>
  <si>
    <t xml:space="preserve">Kon Tum                            </t>
  </si>
  <si>
    <t xml:space="preserve">Lai Châu                             </t>
  </si>
  <si>
    <t xml:space="preserve">Lâm Đồng                          </t>
  </si>
  <si>
    <t xml:space="preserve">Lạng Sơn                            </t>
  </si>
  <si>
    <t xml:space="preserve">Lào Cai                              </t>
  </si>
  <si>
    <t xml:space="preserve">Long An                             </t>
  </si>
  <si>
    <t xml:space="preserve">Nam Định                           </t>
  </si>
  <si>
    <t xml:space="preserve">Nghệ An                             </t>
  </si>
  <si>
    <t xml:space="preserve">Ninh Bình                           </t>
  </si>
  <si>
    <t xml:space="preserve">Ninh Thuận                        </t>
  </si>
  <si>
    <t xml:space="preserve">Phú Thọ                              </t>
  </si>
  <si>
    <t xml:space="preserve">Phú Yên                              </t>
  </si>
  <si>
    <t xml:space="preserve">Quảng Bình                        </t>
  </si>
  <si>
    <t xml:space="preserve">Quảng Nam                        </t>
  </si>
  <si>
    <t xml:space="preserve">Quảng Ngãi                        </t>
  </si>
  <si>
    <t xml:space="preserve">Quảng Ninh                        </t>
  </si>
  <si>
    <t xml:space="preserve">Quảng Trị                           </t>
  </si>
  <si>
    <t xml:space="preserve">TP.Hồ Chí Minh                </t>
  </si>
  <si>
    <t xml:space="preserve">Sơn La                                </t>
  </si>
  <si>
    <t xml:space="preserve">Sóc Trăng                           </t>
  </si>
  <si>
    <t xml:space="preserve">Tây Ninh                            </t>
  </si>
  <si>
    <t xml:space="preserve">Thái Bình                                                        </t>
  </si>
  <si>
    <t xml:space="preserve">Thái Nguyên                      </t>
  </si>
  <si>
    <t xml:space="preserve">Thanh Hoá                         </t>
  </si>
  <si>
    <t xml:space="preserve">Thừa Thiên Huế                 </t>
  </si>
  <si>
    <t xml:space="preserve">Tiền Giang                         </t>
  </si>
  <si>
    <t xml:space="preserve">Tuyên Quang                     </t>
  </si>
  <si>
    <t xml:space="preserve">Trà Vinh                             </t>
  </si>
  <si>
    <t xml:space="preserve">Vĩnh Long                          </t>
  </si>
  <si>
    <t xml:space="preserve">Vĩnh Phúc                          </t>
  </si>
  <si>
    <t xml:space="preserve">Yên Bái                              </t>
  </si>
  <si>
    <t>Mã đơn vị tính</t>
  </si>
  <si>
    <t>Chỉ tiêu chất lượng chủ yếu</t>
  </si>
  <si>
    <t>Nhóm sản phẩm</t>
  </si>
  <si>
    <t>Sữa và sản phẩm từ sữa</t>
  </si>
  <si>
    <t>Dầu và mỡ</t>
  </si>
  <si>
    <t>Kem</t>
  </si>
  <si>
    <t>Rau, củ, quả</t>
  </si>
  <si>
    <t>Rau, củ đã chế biến</t>
  </si>
  <si>
    <t>Các sản phẩm bánh, kẹo</t>
  </si>
  <si>
    <t>Thịt và các sản phẩm thịt</t>
  </si>
  <si>
    <t>Sản phẩm trứng</t>
  </si>
  <si>
    <t>Đường</t>
  </si>
  <si>
    <t>Mật ong</t>
  </si>
  <si>
    <t>Gia vị</t>
  </si>
  <si>
    <t>Sản phẩm từ đậu tương</t>
  </si>
  <si>
    <t>Đồ uống</t>
  </si>
  <si>
    <t>Sản phẩm từ ngũ cốc</t>
  </si>
  <si>
    <t>Thức phẩm ăn ngay có hàm lượng muối cao</t>
  </si>
  <si>
    <t>Thực phẩm chay</t>
  </si>
  <si>
    <t>Thuốc lá điếu</t>
  </si>
  <si>
    <t>Phụ gia thực phẩm, chất hỗ trợ chế biến</t>
  </si>
  <si>
    <t>Nguyên liệu thực phẩm</t>
  </si>
  <si>
    <t>Chè, cà phê, cacao</t>
  </si>
  <si>
    <t>Cá đã chế biến</t>
  </si>
  <si>
    <t>Thực phẩm khác</t>
  </si>
  <si>
    <t>KEM</t>
  </si>
  <si>
    <t>DVM</t>
  </si>
  <si>
    <t>SVS</t>
  </si>
  <si>
    <t>RCQ</t>
  </si>
  <si>
    <t>RCB</t>
  </si>
  <si>
    <t>TVT</t>
  </si>
  <si>
    <t>BVK</t>
  </si>
  <si>
    <t>SPT</t>
  </si>
  <si>
    <t>DNG</t>
  </si>
  <si>
    <t>MOG</t>
  </si>
  <si>
    <t>GVI</t>
  </si>
  <si>
    <t>DTG</t>
  </si>
  <si>
    <t>DBT</t>
  </si>
  <si>
    <t>DUG</t>
  </si>
  <si>
    <t>NCC</t>
  </si>
  <si>
    <t>ANY</t>
  </si>
  <si>
    <t>TPC</t>
  </si>
  <si>
    <t>PGA</t>
  </si>
  <si>
    <t>NLP</t>
  </si>
  <si>
    <t>CCC</t>
  </si>
  <si>
    <t>CCB</t>
  </si>
  <si>
    <t>BBP</t>
  </si>
  <si>
    <t>OTH</t>
  </si>
  <si>
    <t>QCVN 3-5:2011/BYT</t>
  </si>
  <si>
    <t>QCVN 3-6:2011/BYT</t>
  </si>
  <si>
    <t>QCVN 4-11:2010/BYT</t>
  </si>
  <si>
    <t>g/ml</t>
  </si>
  <si>
    <t>gpml</t>
  </si>
  <si>
    <t>g/viên</t>
  </si>
  <si>
    <t>gpball</t>
  </si>
  <si>
    <t>kcal/10g</t>
  </si>
  <si>
    <t>kclp10g</t>
  </si>
  <si>
    <t>kcal/169g</t>
  </si>
  <si>
    <t>kclp169g</t>
  </si>
  <si>
    <t>µg/kg</t>
  </si>
  <si>
    <t>mcgpkg</t>
  </si>
  <si>
    <t>SVS_SB</t>
  </si>
  <si>
    <t>Sữa bột</t>
  </si>
  <si>
    <t>Sữa nước</t>
  </si>
  <si>
    <t>SVS_SN</t>
  </si>
  <si>
    <t>SVS_SD</t>
  </si>
  <si>
    <t>Sữa đặc có đường</t>
  </si>
  <si>
    <t>Sữa chua</t>
  </si>
  <si>
    <t>SVS_SC</t>
  </si>
  <si>
    <t>SVS_BO</t>
  </si>
  <si>
    <t>Bơ</t>
  </si>
  <si>
    <t>Cream</t>
  </si>
  <si>
    <t>SVS_CM</t>
  </si>
  <si>
    <t>Pho mát</t>
  </si>
  <si>
    <t>SVS_PM</t>
  </si>
  <si>
    <t>SVS_WY</t>
  </si>
  <si>
    <t>Whey</t>
  </si>
  <si>
    <t>Bánh các loại</t>
  </si>
  <si>
    <t>BVK_BB</t>
  </si>
  <si>
    <t>Cacao, socola dạng phết</t>
  </si>
  <si>
    <t>BVK_CS</t>
  </si>
  <si>
    <t>Các sản phẩm tương tự Cacao, Socola</t>
  </si>
  <si>
    <t>BVK_SC</t>
  </si>
  <si>
    <t>Các sản phẩm dùng để trang trí</t>
  </si>
  <si>
    <t>BVK_TT</t>
  </si>
  <si>
    <t>Thịt đông lạnh</t>
  </si>
  <si>
    <t>TVT_DL</t>
  </si>
  <si>
    <t>Thịt hộp</t>
  </si>
  <si>
    <t>TVT_TH</t>
  </si>
  <si>
    <t>TVT_XLN</t>
  </si>
  <si>
    <t>Sản phẩm thịt đã qua xử lý nhiệt</t>
  </si>
  <si>
    <t>Sản phẩm thịt không qua xử lý nhiệt</t>
  </si>
  <si>
    <t>TVT_KXLN</t>
  </si>
  <si>
    <t>Các loại vỏ bọc ăn được</t>
  </si>
  <si>
    <t>TVT_VB</t>
  </si>
  <si>
    <t>Đồ uống có cồn</t>
  </si>
  <si>
    <t>DUG_CC</t>
  </si>
  <si>
    <t>Đồ uống không cồn</t>
  </si>
  <si>
    <t>DUG_KC</t>
  </si>
  <si>
    <t>Nước khoáng thiên nhiên</t>
  </si>
  <si>
    <t>DUG_NK</t>
  </si>
  <si>
    <t>Sản phẩm dinh dưỡng hợp lý</t>
  </si>
  <si>
    <t>DBT_DD</t>
  </si>
  <si>
    <t>Thực phẩm tăng cường vi chất dinh dưỡng</t>
  </si>
  <si>
    <t>Nguyên liệu thực phẩm có nguồn gốc</t>
  </si>
  <si>
    <t>DBT_NL</t>
  </si>
  <si>
    <t>Thực phẩm chức năng</t>
  </si>
  <si>
    <t>TPCN</t>
  </si>
  <si>
    <t>ppm</t>
  </si>
  <si>
    <t>Phút</t>
  </si>
  <si>
    <t>MI</t>
  </si>
  <si>
    <t>Bào tử/g</t>
  </si>
  <si>
    <t>btpg</t>
  </si>
  <si>
    <t>CFU/25g</t>
  </si>
  <si>
    <t>cfup25g</t>
  </si>
  <si>
    <t>Chỉ tiêu khác</t>
  </si>
  <si>
    <t>Other</t>
  </si>
  <si>
    <t>38/2012/NĐ-CP</t>
  </si>
  <si>
    <t>Nghị định số 38/2012/NĐ-CP của Chính phủ : Quy định chi tiết thi hành một số điều của Luật an toàn thực phẩm</t>
  </si>
  <si>
    <t>Điện thoại</t>
  </si>
  <si>
    <t>Fax</t>
  </si>
  <si>
    <t>Email</t>
  </si>
  <si>
    <t>Tên công ty xuất khẩu về Việt Nam</t>
  </si>
  <si>
    <t>Địa chỉ công ty xuất khẩu về Việt Nam</t>
  </si>
  <si>
    <t>Ngày công bố</t>
  </si>
  <si>
    <t>Người ký</t>
  </si>
  <si>
    <t>Phù hợp với QCKT/QĐATTP</t>
  </si>
  <si>
    <t>Phương thức đánh giá phù hợp</t>
  </si>
  <si>
    <t>Thông tin Doanh nghiệp</t>
  </si>
  <si>
    <r>
      <t xml:space="preserve">MST tổ chức, cá nhân </t>
    </r>
    <r>
      <rPr>
        <sz val="13"/>
        <color rgb="FFFF0000"/>
        <rFont val="Times New Roman"/>
        <family val="1"/>
      </rPr>
      <t>(*)</t>
    </r>
  </si>
  <si>
    <r>
      <t xml:space="preserve">Tên sản phẩm </t>
    </r>
    <r>
      <rPr>
        <sz val="13"/>
        <color rgb="FFFF0000"/>
        <rFont val="Times New Roman"/>
        <family val="1"/>
      </rPr>
      <t>(*)</t>
    </r>
  </si>
  <si>
    <r>
      <t xml:space="preserve">Tên nhà sản xuất </t>
    </r>
    <r>
      <rPr>
        <sz val="13"/>
        <color rgb="FFFF0000"/>
        <rFont val="Times New Roman"/>
        <family val="1"/>
      </rPr>
      <t>(*)</t>
    </r>
  </si>
  <si>
    <r>
      <t xml:space="preserve">Địa chỉ </t>
    </r>
    <r>
      <rPr>
        <sz val="13"/>
        <color rgb="FFFF0000"/>
        <rFont val="Times New Roman"/>
        <family val="1"/>
      </rPr>
      <t>(*)</t>
    </r>
  </si>
  <si>
    <r>
      <t xml:space="preserve">Số bản công bố </t>
    </r>
    <r>
      <rPr>
        <sz val="13"/>
        <color rgb="FFFF0000"/>
        <rFont val="Times New Roman"/>
        <family val="1"/>
      </rPr>
      <t>(*)</t>
    </r>
  </si>
  <si>
    <r>
      <t>Tên nhóm sản phẩm</t>
    </r>
    <r>
      <rPr>
        <sz val="13"/>
        <color rgb="FFFF0000"/>
        <rFont val="Times New Roman"/>
        <family val="1"/>
      </rPr>
      <t xml:space="preserve"> (*)</t>
    </r>
  </si>
  <si>
    <t>Số</t>
  </si>
  <si>
    <t>Trạng thái</t>
  </si>
  <si>
    <t>Màu sắc</t>
  </si>
  <si>
    <t>Trạng thái đặc trưng khác</t>
  </si>
  <si>
    <t>Mùi vị</t>
  </si>
  <si>
    <t>Các chỉ tiêu khác</t>
  </si>
  <si>
    <r>
      <t xml:space="preserve">Thành phần cấu tạo </t>
    </r>
    <r>
      <rPr>
        <sz val="13"/>
        <color rgb="FFFF0000"/>
        <rFont val="Times New Roman"/>
        <family val="1"/>
      </rPr>
      <t>(*)</t>
    </r>
  </si>
  <si>
    <t>Công dụng</t>
  </si>
  <si>
    <r>
      <t xml:space="preserve">Thời hạn sử dụng </t>
    </r>
    <r>
      <rPr>
        <sz val="13"/>
        <color rgb="FFFF0000"/>
        <rFont val="Times New Roman"/>
        <family val="1"/>
      </rPr>
      <t>(*)</t>
    </r>
  </si>
  <si>
    <t>Đối tượng sử dụng</t>
  </si>
  <si>
    <r>
      <t xml:space="preserve">Chất liệu bao bì và quy cách đóng gói </t>
    </r>
    <r>
      <rPr>
        <sz val="13"/>
        <color rgb="FFFF0000"/>
        <rFont val="Times New Roman"/>
        <family val="1"/>
      </rPr>
      <t>(*)</t>
    </r>
  </si>
  <si>
    <t>Quy trình sản xuất</t>
  </si>
  <si>
    <r>
      <t xml:space="preserve">Xuất xứ và thương nhân chịu trách nhiệm về chất lượng hàng hóa </t>
    </r>
    <r>
      <rPr>
        <sz val="13"/>
        <color rgb="FFFF0000"/>
        <rFont val="Times New Roman"/>
        <family val="1"/>
      </rPr>
      <t>(*)</t>
    </r>
  </si>
  <si>
    <t>Ngày ký</t>
  </si>
  <si>
    <t>Biện pháp phân biệt thật, giả (nếu có)</t>
  </si>
  <si>
    <t>Thông tin bổ sung</t>
  </si>
  <si>
    <r>
      <t>&lt;</t>
    </r>
    <r>
      <rPr>
        <i/>
        <sz val="13"/>
        <color theme="1"/>
        <rFont val="Times New Roman"/>
        <family val="1"/>
      </rPr>
      <t>Dư lượng thuốc bảo vệ thực vật phù hợp với quy định tối đa ô nhiễm sinh học và hóa học trong thực phẩm ban hành kèm theo Quyết định số 46/2007/QĐ-BYT ngày 19/12/2007 của Bộ y tế</t>
    </r>
    <r>
      <rPr>
        <sz val="13"/>
        <color theme="1"/>
        <rFont val="Times New Roman"/>
        <family val="1"/>
      </rPr>
      <t>&gt;</t>
    </r>
  </si>
  <si>
    <r>
      <t xml:space="preserve">Tên chỉ tiêu </t>
    </r>
    <r>
      <rPr>
        <b/>
        <sz val="13"/>
        <color rgb="FFFF0000"/>
        <rFont val="Times New Roman"/>
        <family val="1"/>
      </rPr>
      <t>(*)</t>
    </r>
  </si>
  <si>
    <r>
      <t xml:space="preserve">Đơn vị tính </t>
    </r>
    <r>
      <rPr>
        <b/>
        <sz val="13"/>
        <color rgb="FFFF0000"/>
        <rFont val="Times New Roman"/>
        <family val="1"/>
      </rPr>
      <t>(*)</t>
    </r>
  </si>
  <si>
    <r>
      <t xml:space="preserve">Mức công bố </t>
    </r>
    <r>
      <rPr>
        <b/>
        <sz val="13"/>
        <color rgb="FFFF0000"/>
        <rFont val="Times New Roman"/>
        <family val="1"/>
      </rPr>
      <t>(*)</t>
    </r>
  </si>
  <si>
    <r>
      <t>Mức tối đa</t>
    </r>
    <r>
      <rPr>
        <b/>
        <sz val="13"/>
        <color rgb="FFFF0000"/>
        <rFont val="Times New Roman"/>
        <family val="1"/>
      </rPr>
      <t xml:space="preserve"> (*)</t>
    </r>
  </si>
  <si>
    <r>
      <t xml:space="preserve">Mức tối đa </t>
    </r>
    <r>
      <rPr>
        <b/>
        <sz val="13"/>
        <color rgb="FFFF0000"/>
        <rFont val="Times New Roman"/>
        <family val="1"/>
      </rPr>
      <t>(*)</t>
    </r>
  </si>
  <si>
    <r>
      <t xml:space="preserve">Các quá trình sản xuất </t>
    </r>
    <r>
      <rPr>
        <b/>
        <sz val="13"/>
        <color rgb="FFFF0000"/>
        <rFont val="Times New Roman"/>
        <family val="1"/>
      </rPr>
      <t>(*)</t>
    </r>
  </si>
  <si>
    <t>% (m/m)</t>
  </si>
  <si>
    <t>% khối lượng</t>
  </si>
  <si>
    <t>% thể tích</t>
  </si>
  <si>
    <t>perpvien</t>
  </si>
  <si>
    <t>pergomxanthan</t>
  </si>
  <si>
    <t>PERVOL</t>
  </si>
  <si>
    <t>.....</t>
  </si>
  <si>
    <t>µg RE/10 ml</t>
  </si>
  <si>
    <t>μg/100g</t>
  </si>
  <si>
    <t>µgp100ml</t>
  </si>
  <si>
    <t>µgp17g</t>
  </si>
  <si>
    <t>µgpg</t>
  </si>
  <si>
    <t>muygperlit</t>
  </si>
  <si>
    <t>µgpml</t>
  </si>
  <si>
    <t>µg-RE/100g</t>
  </si>
  <si>
    <t>µg-RE/100kcal</t>
  </si>
  <si>
    <t>µm</t>
  </si>
  <si>
    <t>0C</t>
  </si>
  <si>
    <t>100gpngay</t>
  </si>
  <si>
    <t>20oC</t>
  </si>
  <si>
    <t>25g</t>
  </si>
  <si>
    <t>25oC</t>
  </si>
  <si>
    <t>bào tửp50g</t>
  </si>
  <si>
    <t>bào tửpl</t>
  </si>
  <si>
    <t>Bào tử/ml</t>
  </si>
  <si>
    <t>Brix</t>
  </si>
  <si>
    <t>BTpg</t>
  </si>
  <si>
    <t>CFU/100g</t>
  </si>
  <si>
    <t>CFU/10mg</t>
  </si>
  <si>
    <t>CFUp10ml</t>
  </si>
  <si>
    <t>cfu/125g</t>
  </si>
  <si>
    <t>CFUp250ml</t>
  </si>
  <si>
    <t>CFUp25ml</t>
  </si>
  <si>
    <t>CFU/3g</t>
  </si>
  <si>
    <t>CFU/40g</t>
  </si>
  <si>
    <t>cfup50g</t>
  </si>
  <si>
    <t>CFUPGOI</t>
  </si>
  <si>
    <t>conp25g</t>
  </si>
  <si>
    <t>conpergam</t>
  </si>
  <si>
    <t>dinhtinh</t>
  </si>
  <si>
    <t>Độ acid</t>
  </si>
  <si>
    <t>g</t>
  </si>
  <si>
    <t>g%</t>
  </si>
  <si>
    <t>gp100g</t>
  </si>
  <si>
    <t>g/100kcal</t>
  </si>
  <si>
    <t>gp100ml</t>
  </si>
  <si>
    <t>g/10g</t>
  </si>
  <si>
    <t>g/11g</t>
  </si>
  <si>
    <t>g/12g</t>
  </si>
  <si>
    <t>g/14g</t>
  </si>
  <si>
    <t>g/17g</t>
  </si>
  <si>
    <t>g/20g</t>
  </si>
  <si>
    <t>g/22,3g</t>
  </si>
  <si>
    <t>g/ 24,2g</t>
  </si>
  <si>
    <t>g/24,2g sản phẩm</t>
  </si>
  <si>
    <t>g/28,4g</t>
  </si>
  <si>
    <t>g/280g</t>
  </si>
  <si>
    <t>N</t>
  </si>
  <si>
    <t>g/320g</t>
  </si>
  <si>
    <t>gp325ml</t>
  </si>
  <si>
    <t>gp32g</t>
  </si>
  <si>
    <t>g/40g</t>
  </si>
  <si>
    <t>g/454g</t>
  </si>
  <si>
    <t>g/65g</t>
  </si>
  <si>
    <t>g/78g</t>
  </si>
  <si>
    <t>g/79g</t>
  </si>
  <si>
    <t>g/85g</t>
  </si>
  <si>
    <t>g/cm3</t>
  </si>
  <si>
    <t>g/cuộn</t>
  </si>
  <si>
    <t>g/hl</t>
  </si>
  <si>
    <t>g/kg</t>
  </si>
  <si>
    <t>g/ khẩu phần</t>
  </si>
  <si>
    <t>gpt</t>
  </si>
  <si>
    <t>g/l</t>
  </si>
  <si>
    <t>gi2per100g</t>
  </si>
  <si>
    <t>gram/cc</t>
  </si>
  <si>
    <t>Độ Axit</t>
  </si>
  <si>
    <t>IU</t>
  </si>
  <si>
    <t>IU/100 kcal</t>
  </si>
  <si>
    <t>IU/100g</t>
  </si>
  <si>
    <t>IUp100ml</t>
  </si>
  <si>
    <t>IUp10ml</t>
  </si>
  <si>
    <t>IU/120ml</t>
  </si>
  <si>
    <t>IUP17g</t>
  </si>
  <si>
    <t>IUp2vien</t>
  </si>
  <si>
    <t>IU/g</t>
  </si>
  <si>
    <t>iupkg</t>
  </si>
  <si>
    <t>IUpball</t>
  </si>
  <si>
    <t>kcal</t>
  </si>
  <si>
    <t>Kcalp10ml</t>
  </si>
  <si>
    <t>Kcal/ 24,2g</t>
  </si>
  <si>
    <t>M</t>
  </si>
  <si>
    <t>Kcalp325ml</t>
  </si>
  <si>
    <t>Kcalp32g</t>
  </si>
  <si>
    <t>kcal/3g</t>
  </si>
  <si>
    <t>kcal/40g</t>
  </si>
  <si>
    <t>kcal/khẩu phần</t>
  </si>
  <si>
    <t>kgcal</t>
  </si>
  <si>
    <t>KSD</t>
  </si>
  <si>
    <t>klp25g</t>
  </si>
  <si>
    <t>klpg</t>
  </si>
  <si>
    <t>Kjp100g</t>
  </si>
  <si>
    <t>klpml</t>
  </si>
  <si>
    <t>mcg</t>
  </si>
  <si>
    <t>mcg RE</t>
  </si>
  <si>
    <t>mcg RE/100g</t>
  </si>
  <si>
    <t>mcg/100g</t>
  </si>
  <si>
    <t>mcg/100kcal</t>
  </si>
  <si>
    <t>mcg/100ml</t>
  </si>
  <si>
    <t>mcg/l</t>
  </si>
  <si>
    <t>mcg/lọ</t>
  </si>
  <si>
    <t>......</t>
  </si>
  <si>
    <t>mcgpball</t>
  </si>
  <si>
    <t>mcg-Re</t>
  </si>
  <si>
    <t>meqpkg</t>
  </si>
  <si>
    <t>mqpkgdau</t>
  </si>
  <si>
    <t>meqo2perkg</t>
  </si>
  <si>
    <t>m</t>
  </si>
  <si>
    <t>mgram</t>
  </si>
  <si>
    <t>mgkohperg</t>
  </si>
  <si>
    <t>Mgpv</t>
  </si>
  <si>
    <t>mgper100G</t>
  </si>
  <si>
    <t>mgp100ml</t>
  </si>
  <si>
    <t>mgp10ml</t>
  </si>
  <si>
    <t>mg/120ml</t>
  </si>
  <si>
    <t>mgp17g</t>
  </si>
  <si>
    <t>mgp2vien</t>
  </si>
  <si>
    <t>mg/20g</t>
  </si>
  <si>
    <t>mg/ 24,2g sản phẩm</t>
  </si>
  <si>
    <t>mgp325ml</t>
  </si>
  <si>
    <t>mg/3g</t>
  </si>
  <si>
    <t>mg/5ml</t>
  </si>
  <si>
    <t>O</t>
  </si>
  <si>
    <t>mgpg</t>
  </si>
  <si>
    <t>mgpgói</t>
  </si>
  <si>
    <t>mg/khẩu phần</t>
  </si>
  <si>
    <t>mg/l cồn 100 độ</t>
  </si>
  <si>
    <t>mg/l etanol 100°</t>
  </si>
  <si>
    <t>mg/lọ</t>
  </si>
  <si>
    <t>mg/ngày</t>
  </si>
  <si>
    <t>mgpt</t>
  </si>
  <si>
    <t>mgKOH/g</t>
  </si>
  <si>
    <t>mg-NE/100g</t>
  </si>
  <si>
    <t>mgα-TE/100g</t>
  </si>
  <si>
    <t>ml 0,1N NaOH/g</t>
  </si>
  <si>
    <t>mm</t>
  </si>
  <si>
    <t>mPas</t>
  </si>
  <si>
    <t>MPNpml</t>
  </si>
  <si>
    <t>nanomet</t>
  </si>
  <si>
    <t>o</t>
  </si>
  <si>
    <t>oC</t>
  </si>
  <si>
    <t>pH</t>
  </si>
  <si>
    <t>SoMlNa2S2O30,002Npg</t>
  </si>
  <si>
    <t>Tỷ trọng</t>
  </si>
  <si>
    <t>UI/lọ</t>
  </si>
  <si>
    <t>vikhuanp25g</t>
  </si>
  <si>
    <t>vikhuanpg</t>
  </si>
  <si>
    <t>%/viên</t>
  </si>
  <si>
    <t>%gôm xanthan</t>
  </si>
  <si>
    <t>%vol</t>
  </si>
  <si>
    <t>µg/100ml</t>
  </si>
  <si>
    <t>µg/17g</t>
  </si>
  <si>
    <t>µg/g</t>
  </si>
  <si>
    <t>µg/lít</t>
  </si>
  <si>
    <t>µg/ml</t>
  </si>
  <si>
    <t>100g/ngày</t>
  </si>
  <si>
    <t>bào tử/50g</t>
  </si>
  <si>
    <t>bào tử/l</t>
  </si>
  <si>
    <t>BT/g</t>
  </si>
  <si>
    <t>CFU/10ml</t>
  </si>
  <si>
    <t>CFU/250ml</t>
  </si>
  <si>
    <t>CFU/25ml</t>
  </si>
  <si>
    <t>cfu/50g</t>
  </si>
  <si>
    <t>CFU/gói</t>
  </si>
  <si>
    <t>Con/25gam</t>
  </si>
  <si>
    <t>Con/gam</t>
  </si>
  <si>
    <t>Định tính</t>
  </si>
  <si>
    <t>Độ</t>
  </si>
  <si>
    <t>g/100g</t>
  </si>
  <si>
    <t>g/100ml</t>
  </si>
  <si>
    <t>g/24,2 g</t>
  </si>
  <si>
    <t>g/30ml</t>
  </si>
  <si>
    <t>g/325ml</t>
  </si>
  <si>
    <t>g/32g</t>
  </si>
  <si>
    <t>g/khẩu phần</t>
  </si>
  <si>
    <t>g/túi</t>
  </si>
  <si>
    <t>gam/lit</t>
  </si>
  <si>
    <t>gI2/100g dầu</t>
  </si>
  <si>
    <t>Gree/Độ</t>
  </si>
  <si>
    <t>IU/100ml</t>
  </si>
  <si>
    <t>IU/10ml</t>
  </si>
  <si>
    <t>IU/17g</t>
  </si>
  <si>
    <t>IU/2 viên</t>
  </si>
  <si>
    <t>IU/kg</t>
  </si>
  <si>
    <t>IU/viên</t>
  </si>
  <si>
    <t>kcal/100 ml</t>
  </si>
  <si>
    <t>kcal/10ml</t>
  </si>
  <si>
    <t>Kcal/24,2g</t>
  </si>
  <si>
    <t>kcal/30ml</t>
  </si>
  <si>
    <t>Kcal/325ml</t>
  </si>
  <si>
    <t>Kcal/32g</t>
  </si>
  <si>
    <t>Không sử dụng</t>
  </si>
  <si>
    <t>Khuẩn lạc/25g</t>
  </si>
  <si>
    <t>Khuẩn lạc/g</t>
  </si>
  <si>
    <t>kJ/100 ml</t>
  </si>
  <si>
    <t>Kj/100g</t>
  </si>
  <si>
    <t>kl/ml</t>
  </si>
  <si>
    <t>mcg/kg</t>
  </si>
  <si>
    <t>mcg/ngay</t>
  </si>
  <si>
    <t>mcg/viên</t>
  </si>
  <si>
    <t>mEq/kg</t>
  </si>
  <si>
    <t>meq/kg dầu</t>
  </si>
  <si>
    <t>meqO2/kg dầu</t>
  </si>
  <si>
    <t>mét</t>
  </si>
  <si>
    <t>mg</t>
  </si>
  <si>
    <t>mg KOH/g dầu</t>
  </si>
  <si>
    <t>mg/ viên</t>
  </si>
  <si>
    <t>mg/100ml</t>
  </si>
  <si>
    <t>mg/10ml</t>
  </si>
  <si>
    <t>mg/17g</t>
  </si>
  <si>
    <t>mg/2 viên</t>
  </si>
  <si>
    <t>mg/24,2g sản phẩm</t>
  </si>
  <si>
    <t>mg/325ml</t>
  </si>
  <si>
    <t>mg/60ml</t>
  </si>
  <si>
    <t>mg/g</t>
  </si>
  <si>
    <t>mg/gói</t>
  </si>
  <si>
    <t>mg/túi</t>
  </si>
  <si>
    <t>MPN/ml</t>
  </si>
  <si>
    <t>nm</t>
  </si>
  <si>
    <t>Số ml Na2S2O3 0,002N/g</t>
  </si>
  <si>
    <t>vi khuẩn/25g</t>
  </si>
  <si>
    <t>vi khuẩn/g</t>
  </si>
  <si>
    <r>
      <t xml:space="preserve">Tên nước xuất xứ </t>
    </r>
    <r>
      <rPr>
        <sz val="13"/>
        <color rgb="FFFF0000"/>
        <rFont val="Times New Roman"/>
        <family val="1"/>
      </rPr>
      <t>(*)</t>
    </r>
  </si>
  <si>
    <r>
      <t xml:space="preserve">Hướng dẫn sử dụng và bảo quản </t>
    </r>
    <r>
      <rPr>
        <sz val="13"/>
        <color rgb="FFFF0000"/>
        <rFont val="Times New Roman"/>
        <family val="1"/>
      </rPr>
      <t>(*)</t>
    </r>
  </si>
  <si>
    <t>02/2007/QĐ-BYT</t>
  </si>
  <si>
    <t>Quyết định 02/2007/QĐ-BYT: Quy định về vệ sinh  an toàn đối với sản phẩm thuốc lá</t>
  </si>
  <si>
    <t>19/2012/TT-BYT</t>
  </si>
  <si>
    <t>19/2012/TT-BYT - Thông tư Hướng dẫn việc công bố hợp quy và  công bố phù hợp quy định an toàn thực phẩm</t>
  </si>
  <si>
    <t>24/2013/TT-BYT</t>
  </si>
  <si>
    <t>Thông tư 24/2013/TT-BYT: Quy định mức giới hạn tối đa dư lượng thuốc thú y trong thực phẩm</t>
  </si>
  <si>
    <t>27/2012/TT-BYT</t>
  </si>
  <si>
    <t>Thông tư 27/2012/TT-BYT: Hướng dẫn việc quản lý phụ gia thực phẩm</t>
  </si>
  <si>
    <t>3742/2001/QĐ-BYT</t>
  </si>
  <si>
    <t>3742/2001/QĐ-BYT: QUYẾT ĐỊNH CỦA BỘ TRƯỞNG BỘ Y TẾ Về việc ban hành Quy định danh mục các chất phụ gia được phép sử dụng trong thực phẩm</t>
  </si>
  <si>
    <t>46/2007/QĐ-BYT</t>
  </si>
  <si>
    <t>46/2007/QĐ-BYT: Quy định giới hạn tối đa ô nhiễm sinh học và hóa học trong thực phẩm</t>
  </si>
  <si>
    <t>89/2006/NĐ-CP</t>
  </si>
  <si>
    <t>Nghị định 89/2006/NĐ-CP: NGHỊ ĐỊNH Về nhãn hàng hóa</t>
  </si>
  <si>
    <t>QCVN 01:2009/BYT: Quy chuẩn kỹ thuật quốc gia về chất lượng nước ăn uống</t>
  </si>
  <si>
    <t>QCVN 02:2009/BYT: Quy chuẩn kỹ thuật quốc gia về chất lượng nước sinh hoạt</t>
  </si>
  <si>
    <t>QCVN 10:2011/BYT: Quy chuẩn kỹ thuật quốc gia đối với nước đá dùng liền</t>
  </si>
  <si>
    <t>QCVN 11-1:2012/BYT: Quy chuẩn quốc gia đối với sản phẩm dinh dưỡng công thức cho trẻ đến 12 tháng tuổi</t>
  </si>
  <si>
    <t>QCVN 11-2:2012/BYT: Quy chuẩn quốc gia đối với sản phẩm dinh dưỡng công thức với mục đích y tế đặc biệt cho trẻ đến 12 tháng tuổi</t>
  </si>
  <si>
    <t>QCVN 11-3:2012/BYT: Quy chuẩn quốc gia đối với sản phẩm dinh dưỡng công thức với mục đích ăn bổ sung cho trẻ từ 6 đến 36 tháng tuổi</t>
  </si>
  <si>
    <t>QCVN 11-4:2012/BYT</t>
  </si>
  <si>
    <t>QCVN 11-4:2012/BYT: Quy chuẩn quốc gia đối với sản phẩm dinh dưỡng chế biến từ ngũ cốc cho trẻ từ 6 đến 36 tháng tuổi</t>
  </si>
  <si>
    <t>QCVN 12-1:2011/BYT: Quy chuẩn kỹ thuật quốc gia về an toàn vệ sinh đối với bao bì, dụng cụ tiếp xúc trực tiếp với thực phẩm bằng nhựa tổng hợp</t>
  </si>
  <si>
    <t>QCVN 12-2:2011/BYT: Quy chuẩn kỹ thuật quốc gia về an toàn vệ sinh đối với bao bì, dụng cụ tiếp xúc trực tiếp với thực phẩm bằng cao su</t>
  </si>
  <si>
    <t>QCVN 12-3:2011/BYT: Quy chuẩn kỹ thuật quốc gia về an toàn vệ sinh đối với bao bì, dụng cụ tiếp xúc trực tiếp với thực phẩm bằng kim loại</t>
  </si>
  <si>
    <t>QCVN 3-1:2010/BYT: Quy chuẩn kỹ thuật quốc gia về các chất được sử dụng để bổ sung kẽm vào thực phẩm</t>
  </si>
  <si>
    <t>QCVN 3-2:2010/BYT: Quy chuẩn kỹ thuật quốc gia về acid folic được sử dụng để bổ sung vào thực phẩm</t>
  </si>
  <si>
    <t>QCVN 3-3:2010/BYT: Quy chuẩn kỹ thuật quốc gia về các chất được sử dụng để bổ sung sắt vào thực phẩm</t>
  </si>
  <si>
    <t>QCVN 3-4:2010/BYT: Quy chuẩn kỹ thuật quốc gia về các chất được sử dụng để bổ sung calci vào thực phẩm</t>
  </si>
  <si>
    <t>QCVN 3-5:2011/BYT: Quy chuẩn kỹ thuật quốc gia về các chất được sử dụng để bổ sung Magnesi vào thực phẩm</t>
  </si>
  <si>
    <t>QCVN 3-6:2011/BYT: Quy chuẩn kỹ thuật quốc gia về các chất được sử dụng để bổ sung Iod vào thực phẩm</t>
  </si>
  <si>
    <t>QCVN 4-1:2010/BYT: Quy chuẩn kỹ thuật quốc gia về phụ gia thực phẩm – Chất điều vị.</t>
  </si>
  <si>
    <t>QCVN 4-10:2010/BYT: Quy chuẩn kỹ thuật quốc gia về phụ gia thực phẩm – Phẩm màu.</t>
  </si>
  <si>
    <t>QCVN 4-11:2010/BYT: Quy chuẩn kỹ thuật quốc gia về phụ gia thực phẩm – Chất điều chỉnh độ acid.</t>
  </si>
  <si>
    <t>QCVN 4-12:2010/BYT: Quy chuẩn kỹ thuật quốc gia về phụ gia thực phẩm – Chất bảo quản.</t>
  </si>
  <si>
    <t>QCVN 4-13:2010/BYT: Quy chuẩn kỹ thuật quốc gia về phụ gia thực phẩm – Chất ổn định.</t>
  </si>
  <si>
    <t>QCVN 4-14:2010/BYT: Quy chuẩn kỹ thuật quốc gia về phụ gia thực phẩm – Chất tạo phức kim loại.</t>
  </si>
  <si>
    <t>QCVN 4-15:2010/BYT: Quy chuẩn kỹ thuật quốc gia về phụ gia thực phẩm – Chất xử lý bột.</t>
  </si>
  <si>
    <t>QCVN 4-16:2010/BYT: Quy chuẩn kỹ thuật quốc gia về phụ gia thực phẩm – Chất độn.</t>
  </si>
  <si>
    <t>QCVN 4-17:2010/BYT: Quy chuẩn kỹ thuật quốc gia về phụ gia thực phẩm – Chất khí đẩy.</t>
  </si>
  <si>
    <t>QCVN 4-18:2011/BYT</t>
  </si>
  <si>
    <t>QCVN 4-18:2011/BYT: Quy chuẩn kỹ thuật quốc gia về phụ gia thực phẩm – Nhóm chế phẩm tinh bột</t>
  </si>
  <si>
    <t>QCVN 4-19:2011/BYT</t>
  </si>
  <si>
    <t>QCVN 4-19:2011/BYT: Quy chuẩn kỹ thuật quốc gia về phụ gia thực phẩm – Enzym</t>
  </si>
  <si>
    <t>QCVN 4-2:2010/BYT: Quy chuẩn kỹ thuật quốc gia về phụ gia thực phẩm – Chất làm ẩm.</t>
  </si>
  <si>
    <t>QCVN 4-20:2011/BYT</t>
  </si>
  <si>
    <t>QCVN 4-20:2011/BYT: Quy chuẩn kỹ thuật quốc gia về phụ gia thực phẩm – Nhóm chất làm bóng</t>
  </si>
  <si>
    <t>QCVN 4-21:2011/BYT</t>
  </si>
  <si>
    <t>QCVN 4-21:2011/BYT: Quy chuẩn kỹ thuật quốc gia về phụ gia thực phẩm – Nhóm chất làm dày</t>
  </si>
  <si>
    <t>QCVN 4-22:2010/BYT: Quy chuẩn kỹ thuật quốc gia về phụ gia thực phẩm – Nhóm chất nhũ hóa</t>
  </si>
  <si>
    <t>QCVN 4-3:2010/BYT: Quy chuẩn kỹ thuật quốc gia về phụ gia thực phẩm – Chất tạo xốp.</t>
  </si>
  <si>
    <t>QCVN 4-4:2010/BYT: Quy chuẩn kỹ thuật quốc gia về phụ gia thực phẩm – Chất chống đông vón</t>
  </si>
  <si>
    <t>QCVN 4-5:2010/BYT: Quy chuẩn kỹ thuật quốc gia về phụ gia thực phẩm – Chất giữ màu</t>
  </si>
  <si>
    <t>QCVN 4-6:2010/BYT: Quy chuẩn kỹ thuật quốc gia về phụ gia thực phẩm – Chất chống oxy hoá.</t>
  </si>
  <si>
    <t>QCVN 4-7:2010/BYT: Quy chuẩn kỹ thuật quốc gia về phụ gia thực phẩm – Chất chống tạo bọt.</t>
  </si>
  <si>
    <t>QCVN 4-8:2010/BYT: Quy chuẩn kỹ thuật quốc gia về phụ gia thực phẩm – Chất ngọt tổng hợp.</t>
  </si>
  <si>
    <t>QCVN 4-9:2010/BYT: Quy chuẩn kỹ thuật quốc gia về phụ gia thực phẩm – Chất làm rắn chắc.</t>
  </si>
  <si>
    <t>QCVN 5-1: 2010/BYT: Quy chuẩn kỹ thuật quốc gia đối với các sản phẩm sữa dạng lỏng</t>
  </si>
  <si>
    <t>QCVN 5-2: 2010/BYT: Quy chuẩn kỹ thuật quốc gia đối với các sản phẩm sữa dạng bột</t>
  </si>
  <si>
    <t>QCVN 5-3: 2010/BYT: Quy chuẩn kỹ thuật quốc gia đối với các sản phẩm phomat</t>
  </si>
  <si>
    <t>QCVN 5-4: 2010/BYT: Quy chuẩn kỹ thuật quốc gia đối với các sản phẩm chất béo từ sữa</t>
  </si>
  <si>
    <t>QCVN 5-5: 2010/BYT: Quy chuẩn kỹ thuật quốc gia đối với các sản phẩm sữa lên men.</t>
  </si>
  <si>
    <t>QCVN 6-1: 2010/BYT: Quy chuẩn kỹ thuật quốc gia đối với nước khoáng thiên nhiên và nước uống đóng chai.</t>
  </si>
  <si>
    <t>QCVN 6-2: 2010/BYT: Quy chuẩn kỹ thuật quốc gia đối với các sản phẩm đồ uống không cồn.</t>
  </si>
  <si>
    <t>QCVN 6-3: 2010/BYT: Quy chuẩn kỹ thuật quốc gia đối với các sản phẩm đồ uống có cồn</t>
  </si>
  <si>
    <t>QCVN 8-1:2011/BYT: Quy chuẩn kỹ thuật quốc gia đối với giới hạn ô nhiễm độc tố vi nấm trong thực phẩm</t>
  </si>
  <si>
    <t>QCVN 8-2:2011/BYT: Quy chuẩn kỹ thuật quốc gia đối với giới hạn ô nhiễm kim loại nặng trong thực phẩm</t>
  </si>
  <si>
    <t>QCVN 8-3:2011/BYT: Quy chuẩn kỹ thuật quốc gia đối với ô nhiễm vi sinh vật trong thực phẩm</t>
  </si>
  <si>
    <t>QCVN 8-3:2012/BYT</t>
  </si>
  <si>
    <t>QCVN 8-3:2012/BYT: Quy chuẩn kỹ thuật quốc gia về ô nhiễm vi sinh vật trong thực phẩm</t>
  </si>
  <si>
    <t>QCVN 9-1:2011/BYT: Quy chuẩn kỹ thuật quốc gia đối với muối Iod</t>
  </si>
  <si>
    <t>QCVN 9-2:2011/BYT: Quy chuẩn kỹ thuật quốc gia đối với thực phẩm bổ sung vi chất dinh dưỡng (đối với sản phẩm nước mắm, bột mỳ, dầu ăn, đường bổ sung vi chất)</t>
  </si>
  <si>
    <t>TCVN 3974:2007</t>
  </si>
  <si>
    <t>TCVN 3974:2007: Muối thực phẩm</t>
  </si>
  <si>
    <t>TCVN 5908:2009</t>
  </si>
  <si>
    <t>Tiêu chuẩn quốc gia TCVN 5908 : 2009 về KẸO (Candy)</t>
  </si>
  <si>
    <t>-</t>
  </si>
  <si>
    <t>% protein</t>
  </si>
  <si>
    <t>%/100g</t>
  </si>
  <si>
    <t>%/gói</t>
  </si>
  <si>
    <t>%KL</t>
  </si>
  <si>
    <t>%kl/tt</t>
  </si>
  <si>
    <t>%klptt</t>
  </si>
  <si>
    <t>%V</t>
  </si>
  <si>
    <t>%V/V</t>
  </si>
  <si>
    <t>/10g</t>
  </si>
  <si>
    <t>/25g</t>
  </si>
  <si>
    <t>/25ml</t>
  </si>
  <si>
    <t>[α]25D</t>
  </si>
  <si>
    <t>°Bx</t>
  </si>
  <si>
    <t>°F</t>
  </si>
  <si>
    <t>°T</t>
  </si>
  <si>
    <t>µg/ 1ml</t>
  </si>
  <si>
    <t>µg/100g</t>
  </si>
  <si>
    <t>µg/100kcal</t>
  </si>
  <si>
    <t>µg/2.5ml</t>
  </si>
  <si>
    <t>µg/5ml</t>
  </si>
  <si>
    <t>1*250ml</t>
  </si>
  <si>
    <t>1*50ml</t>
  </si>
  <si>
    <t>100 μg/g</t>
  </si>
  <si>
    <t>ADU/g</t>
  </si>
  <si>
    <t>AGI/g</t>
  </si>
  <si>
    <t>bar</t>
  </si>
  <si>
    <t>BGF/g</t>
  </si>
  <si>
    <t>BGLU/g</t>
  </si>
  <si>
    <t>BT/ml</t>
  </si>
  <si>
    <t>BU</t>
  </si>
  <si>
    <t>cal/200ml</t>
  </si>
  <si>
    <t>cc/m2/ngày</t>
  </si>
  <si>
    <t>CFU/ gói 3g</t>
  </si>
  <si>
    <t>cfu/0,1g</t>
  </si>
  <si>
    <t>cfu/10g</t>
  </si>
  <si>
    <t>Cfu/1g</t>
  </si>
  <si>
    <t>Cfu/1ml</t>
  </si>
  <si>
    <t>cfu/200g</t>
  </si>
  <si>
    <t>CFU/25mg</t>
  </si>
  <si>
    <t>CFU/2viên</t>
  </si>
  <si>
    <t>cfu/30x10g</t>
  </si>
  <si>
    <t>CFU/375g</t>
  </si>
  <si>
    <t>cfu/5x5g</t>
  </si>
  <si>
    <t>cfu/60x25g</t>
  </si>
  <si>
    <t>cfu/80g</t>
  </si>
  <si>
    <t>CFU/mg</t>
  </si>
  <si>
    <t>CFU/ống</t>
  </si>
  <si>
    <t>CFU/viên</t>
  </si>
  <si>
    <t>chai/100ml</t>
  </si>
  <si>
    <t>Chỉ số Peroxid</t>
  </si>
  <si>
    <t>cm/30s</t>
  </si>
  <si>
    <t>con/0.1g</t>
  </si>
  <si>
    <t>con/25ml</t>
  </si>
  <si>
    <t>con/ml</t>
  </si>
  <si>
    <t>cp</t>
  </si>
  <si>
    <t>cps</t>
  </si>
  <si>
    <t>CU</t>
  </si>
  <si>
    <t>Định danh</t>
  </si>
  <si>
    <t>Định tính/25g</t>
  </si>
  <si>
    <t>DLU/g</t>
  </si>
  <si>
    <t>Đỏ</t>
  </si>
  <si>
    <t>độ Brix</t>
  </si>
  <si>
    <t>độ C</t>
  </si>
  <si>
    <t>Độ kết dính</t>
  </si>
  <si>
    <t>N/15mm</t>
  </si>
  <si>
    <t>độ T</t>
  </si>
  <si>
    <t>oT</t>
  </si>
  <si>
    <t>độ Z</t>
  </si>
  <si>
    <t>DU</t>
  </si>
  <si>
    <t>EBC</t>
  </si>
  <si>
    <t>EBU</t>
  </si>
  <si>
    <t>EDX/g</t>
  </si>
  <si>
    <t>ER µg/viên</t>
  </si>
  <si>
    <t>FAU/g</t>
  </si>
  <si>
    <t>FECTU/ml</t>
  </si>
  <si>
    <t>FU/viên</t>
  </si>
  <si>
    <t>g / 30g</t>
  </si>
  <si>
    <t>g / viên</t>
  </si>
  <si>
    <t>g I2/100g</t>
  </si>
  <si>
    <t>g Iot/100g</t>
  </si>
  <si>
    <t>g/ 2 viên</t>
  </si>
  <si>
    <t>g/1,2g</t>
  </si>
  <si>
    <t>g/1.7g</t>
  </si>
  <si>
    <t>g/10,8g</t>
  </si>
  <si>
    <t>g/100 kcal</t>
  </si>
  <si>
    <t>gp100Kcl</t>
  </si>
  <si>
    <t>g/10ml</t>
  </si>
  <si>
    <t>g/11,3g</t>
  </si>
  <si>
    <t>g/130g</t>
  </si>
  <si>
    <t>gp130g</t>
  </si>
  <si>
    <t>g/13g (gói)</t>
  </si>
  <si>
    <t>g/150g</t>
  </si>
  <si>
    <t>g/15g</t>
  </si>
  <si>
    <t>gp15g</t>
  </si>
  <si>
    <t>g/15ml</t>
  </si>
  <si>
    <t>g/175ml</t>
  </si>
  <si>
    <t>g/2,8g</t>
  </si>
  <si>
    <t>gp2,8g</t>
  </si>
  <si>
    <t>g/200ml</t>
  </si>
  <si>
    <t>g/20ml</t>
  </si>
  <si>
    <t>g/236ml</t>
  </si>
  <si>
    <t>g/240ml</t>
  </si>
  <si>
    <t>g/24g</t>
  </si>
  <si>
    <t>g/250ml</t>
  </si>
  <si>
    <t>g/25g</t>
  </si>
  <si>
    <t>gp25g</t>
  </si>
  <si>
    <t>g/28g</t>
  </si>
  <si>
    <t>g/3 viên</t>
  </si>
  <si>
    <t>g/3,67g</t>
  </si>
  <si>
    <t>g/30g</t>
  </si>
  <si>
    <t>g/31g</t>
  </si>
  <si>
    <t>g/32.2g</t>
  </si>
  <si>
    <t>g/350ml</t>
  </si>
  <si>
    <t>g/37,5g</t>
  </si>
  <si>
    <t>g/38g</t>
  </si>
  <si>
    <t>g/3g</t>
  </si>
  <si>
    <t>g/4,3g</t>
  </si>
  <si>
    <t>g/4,6g</t>
  </si>
  <si>
    <t>g/42g</t>
  </si>
  <si>
    <t>g/45g</t>
  </si>
  <si>
    <t>g/4g</t>
  </si>
  <si>
    <t>g/5,5g</t>
  </si>
  <si>
    <t>g/50g</t>
  </si>
  <si>
    <t>g/50mL</t>
  </si>
  <si>
    <t>g/5g</t>
  </si>
  <si>
    <t>g/5ml</t>
  </si>
  <si>
    <t>g/600g</t>
  </si>
  <si>
    <t>g/63g</t>
  </si>
  <si>
    <t>g/6g</t>
  </si>
  <si>
    <t>g/6viên</t>
  </si>
  <si>
    <t>g/700ml</t>
  </si>
  <si>
    <t>g/70ml</t>
  </si>
  <si>
    <t>g/72,9g</t>
  </si>
  <si>
    <t>g/7g</t>
  </si>
  <si>
    <t>g/8,9g</t>
  </si>
  <si>
    <t>g/80ml</t>
  </si>
  <si>
    <t>g/9.5g</t>
  </si>
  <si>
    <t>g/9,5g</t>
  </si>
  <si>
    <t>g/90g</t>
  </si>
  <si>
    <t>g/cái</t>
  </si>
  <si>
    <t>g/chai</t>
  </si>
  <si>
    <t>gpchai</t>
  </si>
  <si>
    <t>g/dm3</t>
  </si>
  <si>
    <t>g/gói</t>
  </si>
  <si>
    <t>g/gói19g</t>
  </si>
  <si>
    <t>g/khẩu phần 10g</t>
  </si>
  <si>
    <t>g/khẩu phần 24,2g</t>
  </si>
  <si>
    <t>g/khối lượng tịnh hỗn hợp 565g</t>
  </si>
  <si>
    <t>g/kl</t>
  </si>
  <si>
    <t>g/lọ</t>
  </si>
  <si>
    <t>g/ống</t>
  </si>
  <si>
    <t>GG%/BRIX</t>
  </si>
  <si>
    <t>gI/100g</t>
  </si>
  <si>
    <t>HUT</t>
  </si>
  <si>
    <t>ICU</t>
  </si>
  <si>
    <t>IU/ gói 3g</t>
  </si>
  <si>
    <t>IU/ viên</t>
  </si>
  <si>
    <t>IU/vien</t>
  </si>
  <si>
    <t>IU/125ml</t>
  </si>
  <si>
    <t>IU/150ml</t>
  </si>
  <si>
    <t>IU/15ml</t>
  </si>
  <si>
    <t>IU/236ml</t>
  </si>
  <si>
    <t>IU/2viên</t>
  </si>
  <si>
    <t>IU/3viên</t>
  </si>
  <si>
    <t>IU/5ml</t>
  </si>
  <si>
    <t>IU/70ml</t>
  </si>
  <si>
    <t>IU/gói</t>
  </si>
  <si>
    <t>IU/ml</t>
  </si>
  <si>
    <t>IUpml</t>
  </si>
  <si>
    <t>IU/ống</t>
  </si>
  <si>
    <t>IU/ống 10 ml</t>
  </si>
  <si>
    <t>Kcal / 100g</t>
  </si>
  <si>
    <t>Kcal/1 cái</t>
  </si>
  <si>
    <t>Kcal/1,2g</t>
  </si>
  <si>
    <t>Kcal/10,8g</t>
  </si>
  <si>
    <t>KCal/100g</t>
  </si>
  <si>
    <t>kclp100g</t>
  </si>
  <si>
    <t>Kcal/11,3g</t>
  </si>
  <si>
    <t>Kcal/11g</t>
  </si>
  <si>
    <t>Kcalp11g</t>
  </si>
  <si>
    <t>KCal/130g</t>
  </si>
  <si>
    <t>Kcalp130g</t>
  </si>
  <si>
    <t>Kcal/13g (gói)</t>
  </si>
  <si>
    <t>kcal/150g</t>
  </si>
  <si>
    <t>Kcal/15g</t>
  </si>
  <si>
    <t>Kcalp15g</t>
  </si>
  <si>
    <t>Kcal/15ml</t>
  </si>
  <si>
    <t>Kcal/175ml</t>
  </si>
  <si>
    <t>Kcal/2,8g</t>
  </si>
  <si>
    <t>Kcalp2,8g</t>
  </si>
  <si>
    <t>Kcal/200ml</t>
  </si>
  <si>
    <t>kcal/20ml</t>
  </si>
  <si>
    <t>Kcal/24g</t>
  </si>
  <si>
    <t>kcal/250ml</t>
  </si>
  <si>
    <t>Kcal/25g</t>
  </si>
  <si>
    <t>Kcalp25g</t>
  </si>
  <si>
    <t>kcal/28g</t>
  </si>
  <si>
    <t>Kcal/3,67g</t>
  </si>
  <si>
    <t>kcal/30g</t>
  </si>
  <si>
    <t>kcal/31g</t>
  </si>
  <si>
    <t>Kcal/32.2g</t>
  </si>
  <si>
    <t>kcal/330ml</t>
  </si>
  <si>
    <t>Kcal/33g</t>
  </si>
  <si>
    <t>Kcal/350ml</t>
  </si>
  <si>
    <t>kcal/37,5g</t>
  </si>
  <si>
    <t>kcal/38g</t>
  </si>
  <si>
    <t>Kcal/4,3g</t>
  </si>
  <si>
    <t>kcal/4,6g</t>
  </si>
  <si>
    <t>kcal/42g</t>
  </si>
  <si>
    <t>kcal/45g</t>
  </si>
  <si>
    <t>Kcal/4g</t>
  </si>
  <si>
    <t>Kcal/50g</t>
  </si>
  <si>
    <t>Kcal/50mL</t>
  </si>
  <si>
    <t>kcal/5g</t>
  </si>
  <si>
    <t>kcal/63g</t>
  </si>
  <si>
    <t>Kcal/6g</t>
  </si>
  <si>
    <t>Kcal/72,9g</t>
  </si>
  <si>
    <t>Kcal/7g</t>
  </si>
  <si>
    <t>Kcal/8,9g</t>
  </si>
  <si>
    <t>Kcal/80ml</t>
  </si>
  <si>
    <t>Kcal/90g</t>
  </si>
  <si>
    <t>Kcal/g</t>
  </si>
  <si>
    <t>Kcal/gói</t>
  </si>
  <si>
    <t>Kcal/khẩu phần 24,2g</t>
  </si>
  <si>
    <t>Kcal/mL</t>
  </si>
  <si>
    <t>Kcal/viên</t>
  </si>
  <si>
    <t>Kcalo/g</t>
  </si>
  <si>
    <t>Kcl/236ml</t>
  </si>
  <si>
    <t>kg/m3</t>
  </si>
  <si>
    <t>Tỷ Trọng</t>
  </si>
  <si>
    <t>KGS</t>
  </si>
  <si>
    <t>Khuẩn lạc/25ml</t>
  </si>
  <si>
    <t>khuẩn lạc/ml</t>
  </si>
  <si>
    <t>KJ</t>
  </si>
  <si>
    <t>KL/25 gam</t>
  </si>
  <si>
    <t>KNU-S/g</t>
  </si>
  <si>
    <t>LU</t>
  </si>
  <si>
    <t>mcg DFE/viên</t>
  </si>
  <si>
    <t>mcg RE/ viên</t>
  </si>
  <si>
    <t>mcg/ 2 viên</t>
  </si>
  <si>
    <t>mcg/ gói 3g</t>
  </si>
  <si>
    <t>mcg/ viên</t>
  </si>
  <si>
    <t>Mcgpv</t>
  </si>
  <si>
    <t>mcg/10ml</t>
  </si>
  <si>
    <t>mcg/120ml</t>
  </si>
  <si>
    <t>mcg/150ml</t>
  </si>
  <si>
    <t>mcg/5g</t>
  </si>
  <si>
    <t>mcg/5ml</t>
  </si>
  <si>
    <t>mcg/6g</t>
  </si>
  <si>
    <t>mcg/g</t>
  </si>
  <si>
    <t>mcg/gói</t>
  </si>
  <si>
    <t>mcg/ml</t>
  </si>
  <si>
    <t>mcg/ống</t>
  </si>
  <si>
    <t>mcg/ống 10ml</t>
  </si>
  <si>
    <t>mcg/ống 5ml</t>
  </si>
  <si>
    <t>mEq</t>
  </si>
  <si>
    <t>mEq / viên</t>
  </si>
  <si>
    <t>mEq/10ml</t>
  </si>
  <si>
    <t>mEq/gói</t>
  </si>
  <si>
    <t>mEq/gói19g</t>
  </si>
  <si>
    <t>meqO2/kg</t>
  </si>
  <si>
    <t>Peroxid</t>
  </si>
  <si>
    <t>meqv/kg</t>
  </si>
  <si>
    <t>mg / 50g</t>
  </si>
  <si>
    <t>mg / 70ml</t>
  </si>
  <si>
    <t>mg / kg</t>
  </si>
  <si>
    <t>mg ∝-TE/viên</t>
  </si>
  <si>
    <t>mg alphaTE/100g</t>
  </si>
  <si>
    <t>mg KOH/g</t>
  </si>
  <si>
    <t>mg NE/ viên</t>
  </si>
  <si>
    <t>mg NE/viên</t>
  </si>
  <si>
    <t>mg/ 2viên</t>
  </si>
  <si>
    <t>mg/ gói 3g</t>
  </si>
  <si>
    <t>mg/1,2g</t>
  </si>
  <si>
    <t>mg/100g</t>
  </si>
  <si>
    <t>mg/11g</t>
  </si>
  <si>
    <t>mg/125ml</t>
  </si>
  <si>
    <t>mg/130g</t>
  </si>
  <si>
    <t>mgp130g</t>
  </si>
  <si>
    <t>mg/13g (gói)</t>
  </si>
  <si>
    <t>mg/150ml</t>
  </si>
  <si>
    <t>mg/15ml</t>
  </si>
  <si>
    <t>mg/180ml</t>
  </si>
  <si>
    <t>mg/2,8g</t>
  </si>
  <si>
    <t>mgp2,8g</t>
  </si>
  <si>
    <t>mg/2.5ml</t>
  </si>
  <si>
    <t>mg/200ml</t>
  </si>
  <si>
    <t>mg/20ml</t>
  </si>
  <si>
    <t>mg/236ml</t>
  </si>
  <si>
    <t>mg/250ml</t>
  </si>
  <si>
    <t>mg/2viên</t>
  </si>
  <si>
    <t>mg/3 viên</t>
  </si>
  <si>
    <t>mg/30g</t>
  </si>
  <si>
    <t>mg/30ml</t>
  </si>
  <si>
    <t>mg/360ml</t>
  </si>
  <si>
    <t>mg/3viên</t>
  </si>
  <si>
    <t>mg/4 viên</t>
  </si>
  <si>
    <t>mg/45g</t>
  </si>
  <si>
    <t>mg/4g</t>
  </si>
  <si>
    <t>mg/4g ( 1ea)</t>
  </si>
  <si>
    <t>mg/500ml</t>
  </si>
  <si>
    <t>mg/50g</t>
  </si>
  <si>
    <t>mgp50g</t>
  </si>
  <si>
    <t>mg/50mL</t>
  </si>
  <si>
    <t>mg/5g</t>
  </si>
  <si>
    <t>mg/63g</t>
  </si>
  <si>
    <t>mg/6g</t>
  </si>
  <si>
    <t>mg/6viên</t>
  </si>
  <si>
    <t>mg/700ml</t>
  </si>
  <si>
    <t>mg/70ml</t>
  </si>
  <si>
    <t>mg/80ml</t>
  </si>
  <si>
    <t>mg/chai</t>
  </si>
  <si>
    <t>mg/cm3</t>
  </si>
  <si>
    <t>mg/điếu</t>
  </si>
  <si>
    <t>mg/dm2</t>
  </si>
  <si>
    <t>mg/gói19g</t>
  </si>
  <si>
    <t>mg/khẩu phần 10g</t>
  </si>
  <si>
    <t>mg/khẩu phần 24,2g</t>
  </si>
  <si>
    <t>mg/m2/ngày</t>
  </si>
  <si>
    <t>mg/ml</t>
  </si>
  <si>
    <t>mgpml</t>
  </si>
  <si>
    <t>mg/ống</t>
  </si>
  <si>
    <t>mg/ống 10ml</t>
  </si>
  <si>
    <t>mg/ống 5ml</t>
  </si>
  <si>
    <t>mgO2/l</t>
  </si>
  <si>
    <t>Mili đương lượng peroxit oxi/kg</t>
  </si>
  <si>
    <t>Mili đương lượng per</t>
  </si>
  <si>
    <t>mjg/l</t>
  </si>
  <si>
    <t>ml NaOH 1N/10g</t>
  </si>
  <si>
    <t>ml NaOH N/100g</t>
  </si>
  <si>
    <t>ml/ gói</t>
  </si>
  <si>
    <t>ml/chai</t>
  </si>
  <si>
    <t>mlpchai</t>
  </si>
  <si>
    <t>ml/Hũ</t>
  </si>
  <si>
    <t>ml/lọ</t>
  </si>
  <si>
    <t>ml/lon</t>
  </si>
  <si>
    <t>ml/mg</t>
  </si>
  <si>
    <t>ml/ống</t>
  </si>
  <si>
    <t>mmWg</t>
  </si>
  <si>
    <t>MPN/g</t>
  </si>
  <si>
    <t>mpnpg</t>
  </si>
  <si>
    <t>NE mg/viên</t>
  </si>
  <si>
    <t>NTXU/g</t>
  </si>
  <si>
    <t>PC/g</t>
  </si>
  <si>
    <t>PECTU/g</t>
  </si>
  <si>
    <t>PECTU/ml</t>
  </si>
  <si>
    <t>Peroxyt</t>
  </si>
  <si>
    <t>Phát hiện/25g</t>
  </si>
  <si>
    <t>PLI/g</t>
  </si>
  <si>
    <t>ppm (mg/l)</t>
  </si>
  <si>
    <t>ppm1</t>
  </si>
  <si>
    <t>PPU/g</t>
  </si>
  <si>
    <t>Red</t>
  </si>
  <si>
    <t>SHU</t>
  </si>
  <si>
    <t>SKB/g</t>
  </si>
  <si>
    <t>số bào tử/1g</t>
  </si>
  <si>
    <t>số khuẩn lạc / ml</t>
  </si>
  <si>
    <t>số khuẩn nấm / ml</t>
  </si>
  <si>
    <t>Số lạc khuẩn / ml</t>
  </si>
  <si>
    <t>số nhóm nấm / ml</t>
  </si>
  <si>
    <t>Số vi khuẩn / ml</t>
  </si>
  <si>
    <t>ssp/25</t>
  </si>
  <si>
    <t>TAU/g</t>
  </si>
  <si>
    <t>U/g</t>
  </si>
  <si>
    <t>UI/100ml</t>
  </si>
  <si>
    <t>UI/10ml</t>
  </si>
  <si>
    <t>UI/2viên</t>
  </si>
  <si>
    <t>UI/viên</t>
  </si>
  <si>
    <t>Unit</t>
  </si>
  <si>
    <t>v/v</t>
  </si>
  <si>
    <t>vi khuẩn/25ml</t>
  </si>
  <si>
    <t>vi khuẩn/ml</t>
  </si>
  <si>
    <t>Viên/lọ</t>
  </si>
  <si>
    <t>Wijs</t>
  </si>
  <si>
    <t>chỉ số I ốt</t>
  </si>
  <si>
    <t>αET mg/viên</t>
  </si>
  <si>
    <t>μg/kg</t>
  </si>
  <si>
    <t>Bao bì thực phẩm, dụng cụ, vật liệu bao gói, chứa đựng thực phẩm</t>
  </si>
  <si>
    <t>Quả đã chế biến</t>
  </si>
  <si>
    <t>RCQ_CB</t>
  </si>
  <si>
    <t>Rau an toàn</t>
  </si>
  <si>
    <t>RAT</t>
  </si>
  <si>
    <t>Rau, củ, quả đông lạnh</t>
  </si>
  <si>
    <t>RCQ_DL</t>
  </si>
  <si>
    <t>Sữa trẻ em</t>
  </si>
  <si>
    <t>STE</t>
  </si>
  <si>
    <t>Thực phẩm bảo vệ sức khỏe</t>
  </si>
  <si>
    <t>Thực phẩm bổ sung</t>
  </si>
  <si>
    <t>Thực phẩm đặc biệt khác</t>
  </si>
  <si>
    <t>Thực phẩm dinh dưỡng y học</t>
  </si>
  <si>
    <t>Thực phẩm thường</t>
  </si>
  <si>
    <t>TPT</t>
  </si>
  <si>
    <t>TPK</t>
  </si>
</sst>
</file>

<file path=xl/styles.xml><?xml version="1.0" encoding="utf-8"?>
<styleSheet xmlns="http://schemas.openxmlformats.org/spreadsheetml/2006/main">
  <fonts count="16">
    <font>
      <sz val="11"/>
      <color theme="1"/>
      <name val="Calibri"/>
      <family val="2"/>
      <scheme val="minor"/>
    </font>
    <font>
      <sz val="12"/>
      <color theme="1"/>
      <name val="Times New Roman"/>
      <family val="1"/>
    </font>
    <font>
      <b/>
      <sz val="14"/>
      <color theme="1"/>
      <name val="Times New Roman"/>
      <family val="1"/>
    </font>
    <font>
      <u/>
      <sz val="11"/>
      <color theme="10"/>
      <name val="Calibri"/>
      <family val="2"/>
      <scheme val="minor"/>
    </font>
    <font>
      <sz val="9"/>
      <color indexed="81"/>
      <name val="Tahoma"/>
      <family val="2"/>
    </font>
    <font>
      <b/>
      <sz val="9"/>
      <color indexed="81"/>
      <name val="Tahoma"/>
      <family val="2"/>
    </font>
    <font>
      <b/>
      <sz val="16"/>
      <color rgb="FF3366FF"/>
      <name val="Times New Roman"/>
      <family val="1"/>
    </font>
    <font>
      <sz val="13"/>
      <color rgb="FF3366FF"/>
      <name val="Times New Roman"/>
      <family val="1"/>
    </font>
    <font>
      <sz val="13"/>
      <color rgb="FFFF0000"/>
      <name val="Times New Roman"/>
      <family val="1"/>
    </font>
    <font>
      <sz val="13"/>
      <color theme="1"/>
      <name val="Times New Roman"/>
      <family val="1"/>
    </font>
    <font>
      <sz val="13"/>
      <color theme="9" tint="-0.499984740745262"/>
      <name val="Times New Roman"/>
      <family val="1"/>
    </font>
    <font>
      <u/>
      <sz val="13"/>
      <color theme="10"/>
      <name val="Calibri"/>
      <family val="2"/>
      <scheme val="minor"/>
    </font>
    <font>
      <i/>
      <sz val="13"/>
      <color theme="1"/>
      <name val="Times New Roman"/>
      <family val="1"/>
    </font>
    <font>
      <b/>
      <sz val="13"/>
      <color rgb="FF3366FF"/>
      <name val="Times New Roman"/>
      <family val="1"/>
    </font>
    <font>
      <b/>
      <sz val="13"/>
      <color rgb="FFFF0000"/>
      <name val="Times New Roman"/>
      <family val="1"/>
    </font>
    <font>
      <b/>
      <sz val="11"/>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72">
    <xf numFmtId="0" fontId="0" fillId="0" borderId="0" xfId="0"/>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vertical="center"/>
    </xf>
    <xf numFmtId="0" fontId="1" fillId="0" borderId="0" xfId="0" applyFont="1"/>
    <xf numFmtId="0" fontId="9" fillId="0" borderId="0" xfId="0" applyFont="1" applyAlignment="1">
      <alignment vertical="center" wrapText="1"/>
    </xf>
    <xf numFmtId="0" fontId="9" fillId="0" borderId="1" xfId="0"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left" vertical="center" wrapText="1"/>
    </xf>
    <xf numFmtId="0" fontId="9" fillId="0" borderId="0" xfId="0" applyFont="1" applyAlignment="1">
      <alignment horizontal="left" vertical="center" wrapText="1"/>
    </xf>
    <xf numFmtId="0" fontId="13" fillId="2" borderId="1" xfId="0" applyFont="1" applyFill="1" applyBorder="1" applyAlignment="1">
      <alignment horizontal="center" vertical="center" wrapText="1"/>
    </xf>
    <xf numFmtId="0" fontId="1" fillId="3" borderId="0" xfId="0" applyFont="1" applyFill="1" applyAlignment="1" applyProtection="1">
      <alignment vertical="center" wrapText="1"/>
      <protection locked="0"/>
    </xf>
    <xf numFmtId="49" fontId="9" fillId="0" borderId="11" xfId="0" applyNumberFormat="1" applyFont="1" applyFill="1" applyBorder="1" applyAlignment="1" applyProtection="1">
      <alignment horizontal="left" vertical="center" wrapText="1"/>
      <protection locked="0"/>
    </xf>
    <xf numFmtId="49" fontId="9" fillId="0" borderId="12" xfId="0" applyNumberFormat="1" applyFont="1" applyFill="1" applyBorder="1" applyAlignment="1" applyProtection="1">
      <alignment horizontal="left" vertical="center" wrapText="1"/>
      <protection locked="0"/>
    </xf>
    <xf numFmtId="49" fontId="9" fillId="0" borderId="3" xfId="0" applyNumberFormat="1" applyFont="1" applyFill="1" applyBorder="1" applyAlignment="1" applyProtection="1">
      <alignment horizontal="left" vertical="center" wrapText="1"/>
      <protection locked="0"/>
    </xf>
    <xf numFmtId="49" fontId="9" fillId="0" borderId="4" xfId="0" applyNumberFormat="1" applyFont="1" applyFill="1" applyBorder="1" applyAlignment="1" applyProtection="1">
      <alignment vertical="center" wrapText="1"/>
      <protection locked="0"/>
    </xf>
    <xf numFmtId="49" fontId="9" fillId="0" borderId="0" xfId="0" applyNumberFormat="1" applyFont="1" applyFill="1" applyBorder="1" applyAlignment="1" applyProtection="1">
      <alignment horizontal="left" vertical="center" wrapText="1"/>
      <protection locked="0"/>
    </xf>
    <xf numFmtId="49" fontId="9" fillId="0" borderId="6" xfId="0" applyNumberFormat="1" applyFont="1" applyFill="1" applyBorder="1" applyAlignment="1" applyProtection="1">
      <alignment vertical="center" wrapText="1"/>
      <protection locked="0"/>
    </xf>
    <xf numFmtId="49" fontId="9" fillId="0" borderId="8" xfId="0" applyNumberFormat="1" applyFont="1" applyFill="1" applyBorder="1" applyAlignment="1" applyProtection="1">
      <alignment horizontal="left" vertical="center" wrapText="1"/>
      <protection locked="0"/>
    </xf>
    <xf numFmtId="49" fontId="9" fillId="0" borderId="9" xfId="0" applyNumberFormat="1" applyFont="1" applyFill="1" applyBorder="1" applyAlignment="1" applyProtection="1">
      <alignment vertical="center" wrapText="1"/>
      <protection locked="0"/>
    </xf>
    <xf numFmtId="0" fontId="9" fillId="0" borderId="3" xfId="0" applyFont="1" applyFill="1" applyBorder="1" applyAlignment="1" applyProtection="1">
      <alignment horizontal="left" vertical="center" wrapText="1"/>
      <protection locked="0"/>
    </xf>
    <xf numFmtId="49" fontId="9" fillId="0" borderId="4" xfId="0" applyNumberFormat="1" applyFont="1" applyFill="1" applyBorder="1" applyAlignment="1" applyProtection="1">
      <alignment horizontal="left" vertical="center" wrapText="1"/>
      <protection locked="0"/>
    </xf>
    <xf numFmtId="0" fontId="9" fillId="0" borderId="0" xfId="0" applyFont="1" applyFill="1" applyBorder="1" applyAlignment="1" applyProtection="1">
      <alignment horizontal="left" vertical="center" wrapText="1"/>
      <protection locked="0"/>
    </xf>
    <xf numFmtId="0" fontId="9" fillId="0" borderId="6" xfId="0" applyFont="1" applyFill="1" applyBorder="1" applyAlignment="1" applyProtection="1">
      <alignment horizontal="left" vertical="center" wrapText="1"/>
      <protection locked="0"/>
    </xf>
    <xf numFmtId="0" fontId="9" fillId="4" borderId="0" xfId="0" applyFont="1" applyFill="1" applyBorder="1" applyAlignment="1" applyProtection="1">
      <alignment vertical="center" wrapText="1"/>
      <protection locked="0"/>
    </xf>
    <xf numFmtId="0" fontId="9" fillId="2" borderId="6" xfId="0" applyFont="1" applyFill="1" applyBorder="1" applyAlignment="1" applyProtection="1">
      <alignment vertical="center" wrapText="1"/>
      <protection locked="0"/>
    </xf>
    <xf numFmtId="0" fontId="9" fillId="4" borderId="8" xfId="0" applyFont="1" applyFill="1" applyBorder="1" applyAlignment="1" applyProtection="1">
      <alignment vertical="center" wrapText="1"/>
      <protection locked="0"/>
    </xf>
    <xf numFmtId="0" fontId="9" fillId="2" borderId="9" xfId="0" applyFont="1" applyFill="1" applyBorder="1" applyAlignment="1" applyProtection="1">
      <alignment vertical="center" wrapText="1"/>
      <protection locked="0"/>
    </xf>
    <xf numFmtId="0" fontId="7" fillId="0" borderId="10" xfId="0" applyFont="1" applyFill="1" applyBorder="1" applyAlignment="1" applyProtection="1">
      <alignment vertical="center" wrapText="1"/>
    </xf>
    <xf numFmtId="0" fontId="7" fillId="0" borderId="11" xfId="0" applyFont="1" applyFill="1" applyBorder="1" applyAlignment="1" applyProtection="1">
      <alignment vertical="center" wrapText="1"/>
    </xf>
    <xf numFmtId="0" fontId="7" fillId="0" borderId="2" xfId="0" applyFont="1" applyFill="1" applyBorder="1" applyAlignment="1" applyProtection="1">
      <alignment vertical="center" wrapText="1"/>
    </xf>
    <xf numFmtId="0" fontId="7" fillId="0" borderId="3" xfId="0" applyFont="1" applyFill="1" applyBorder="1" applyAlignment="1" applyProtection="1">
      <alignment vertical="center" wrapText="1"/>
    </xf>
    <xf numFmtId="0" fontId="7" fillId="0" borderId="0" xfId="0" applyFont="1" applyFill="1" applyBorder="1" applyAlignment="1" applyProtection="1">
      <alignment vertical="center" wrapText="1"/>
    </xf>
    <xf numFmtId="0" fontId="7" fillId="0" borderId="5" xfId="0" applyFont="1" applyFill="1" applyBorder="1" applyAlignment="1" applyProtection="1">
      <alignment vertical="center" wrapText="1"/>
    </xf>
    <xf numFmtId="0" fontId="7" fillId="0" borderId="7" xfId="0" applyFont="1" applyFill="1" applyBorder="1" applyAlignment="1" applyProtection="1">
      <alignment vertical="center" wrapText="1"/>
    </xf>
    <xf numFmtId="0" fontId="7" fillId="0" borderId="8" xfId="0" applyFont="1" applyFill="1" applyBorder="1" applyAlignment="1" applyProtection="1">
      <alignment vertical="center" wrapText="1"/>
    </xf>
    <xf numFmtId="0" fontId="10" fillId="0" borderId="0" xfId="0" applyFont="1" applyFill="1" applyBorder="1" applyAlignment="1" applyProtection="1">
      <alignment vertical="center" wrapText="1"/>
    </xf>
    <xf numFmtId="0" fontId="10" fillId="0" borderId="8" xfId="0" applyFont="1" applyFill="1" applyBorder="1" applyAlignment="1" applyProtection="1">
      <alignment vertical="center" wrapText="1"/>
    </xf>
    <xf numFmtId="0" fontId="9" fillId="3" borderId="0" xfId="0" applyFont="1" applyFill="1" applyAlignment="1" applyProtection="1">
      <alignment vertical="center" wrapText="1"/>
      <protection locked="0"/>
    </xf>
    <xf numFmtId="0" fontId="9" fillId="4" borderId="11" xfId="0" applyFont="1" applyFill="1" applyBorder="1" applyAlignment="1" applyProtection="1">
      <alignment vertical="center" wrapText="1"/>
      <protection locked="0"/>
    </xf>
    <xf numFmtId="0" fontId="9" fillId="0" borderId="12" xfId="0" applyFont="1" applyFill="1" applyBorder="1" applyAlignment="1" applyProtection="1">
      <alignment vertical="center" wrapText="1"/>
      <protection locked="0"/>
    </xf>
    <xf numFmtId="0" fontId="9" fillId="0" borderId="3" xfId="0" applyFont="1" applyFill="1" applyBorder="1" applyAlignment="1" applyProtection="1">
      <alignment vertical="center" wrapText="1"/>
      <protection locked="0"/>
    </xf>
    <xf numFmtId="0" fontId="9" fillId="0" borderId="4" xfId="0" applyFont="1" applyFill="1" applyBorder="1" applyAlignment="1" applyProtection="1">
      <alignment vertical="center" wrapText="1"/>
      <protection locked="0"/>
    </xf>
    <xf numFmtId="0" fontId="9" fillId="0" borderId="8" xfId="0" applyFont="1" applyFill="1" applyBorder="1" applyAlignment="1" applyProtection="1">
      <alignment vertical="center" wrapText="1"/>
      <protection locked="0"/>
    </xf>
    <xf numFmtId="0" fontId="9" fillId="0" borderId="9" xfId="0" applyFont="1" applyFill="1" applyBorder="1" applyAlignment="1" applyProtection="1">
      <alignment vertical="center" wrapText="1"/>
      <protection locked="0"/>
    </xf>
    <xf numFmtId="0" fontId="11" fillId="3" borderId="0" xfId="1" applyFont="1" applyFill="1" applyAlignment="1" applyProtection="1">
      <alignment vertical="center"/>
      <protection locked="0"/>
    </xf>
    <xf numFmtId="0" fontId="9" fillId="2" borderId="3" xfId="0" applyFont="1" applyFill="1" applyBorder="1" applyAlignment="1" applyProtection="1">
      <alignment vertical="center" wrapText="1"/>
      <protection locked="0"/>
    </xf>
    <xf numFmtId="0" fontId="9" fillId="2" borderId="4" xfId="0" applyFont="1" applyFill="1" applyBorder="1" applyAlignment="1" applyProtection="1">
      <alignment vertical="center" wrapText="1"/>
      <protection locked="0"/>
    </xf>
    <xf numFmtId="0" fontId="9" fillId="0" borderId="0" xfId="0" applyFont="1" applyFill="1" applyBorder="1" applyAlignment="1" applyProtection="1">
      <alignment vertical="center" wrapText="1"/>
      <protection locked="0"/>
    </xf>
    <xf numFmtId="0" fontId="9" fillId="0" borderId="6" xfId="0" applyFont="1" applyFill="1" applyBorder="1" applyAlignment="1" applyProtection="1">
      <alignment vertical="center" wrapText="1"/>
      <protection locked="0"/>
    </xf>
    <xf numFmtId="0" fontId="7" fillId="2" borderId="5" xfId="0" applyFont="1" applyFill="1" applyBorder="1" applyAlignment="1" applyProtection="1">
      <alignment vertical="center" wrapText="1"/>
      <protection locked="0"/>
    </xf>
    <xf numFmtId="0" fontId="9" fillId="2" borderId="0" xfId="0" applyFont="1" applyFill="1" applyBorder="1" applyAlignment="1" applyProtection="1">
      <alignment vertical="center" wrapText="1"/>
      <protection locked="0"/>
    </xf>
    <xf numFmtId="49" fontId="9" fillId="0" borderId="8" xfId="0" applyNumberFormat="1" applyFont="1" applyFill="1" applyBorder="1" applyAlignment="1" applyProtection="1">
      <alignment vertical="center" wrapText="1"/>
      <protection locked="0"/>
    </xf>
    <xf numFmtId="0" fontId="7" fillId="0" borderId="5" xfId="0" applyFont="1" applyFill="1" applyBorder="1" applyAlignment="1" applyProtection="1">
      <alignment vertical="center" wrapText="1"/>
    </xf>
    <xf numFmtId="0" fontId="7" fillId="0" borderId="7" xfId="0" applyFont="1" applyFill="1" applyBorder="1" applyAlignment="1" applyProtection="1">
      <alignment vertical="center" wrapText="1"/>
    </xf>
    <xf numFmtId="0" fontId="9" fillId="0" borderId="0" xfId="0" quotePrefix="1" applyFont="1" applyAlignment="1">
      <alignment horizontal="left" vertical="center" wrapText="1"/>
    </xf>
    <xf numFmtId="0" fontId="15" fillId="0" borderId="0" xfId="0" applyFont="1"/>
    <xf numFmtId="0" fontId="7" fillId="0" borderId="5" xfId="0" applyFont="1" applyFill="1" applyBorder="1" applyAlignment="1" applyProtection="1">
      <alignment vertical="center" wrapText="1"/>
    </xf>
    <xf numFmtId="0" fontId="7" fillId="0" borderId="7" xfId="0" applyFont="1" applyFill="1" applyBorder="1" applyAlignment="1" applyProtection="1">
      <alignment vertical="center" wrapText="1"/>
    </xf>
    <xf numFmtId="0" fontId="6" fillId="5" borderId="3" xfId="0" applyFont="1" applyFill="1" applyBorder="1" applyAlignment="1" applyProtection="1">
      <alignment horizontal="center" vertical="center"/>
    </xf>
    <xf numFmtId="0" fontId="6" fillId="5" borderId="8" xfId="0" applyFont="1" applyFill="1" applyBorder="1" applyAlignment="1" applyProtection="1">
      <alignment horizontal="center" vertical="center"/>
    </xf>
    <xf numFmtId="0" fontId="6" fillId="5" borderId="8" xfId="0" applyFont="1" applyFill="1" applyBorder="1" applyAlignment="1">
      <alignment horizontal="center" vertical="center"/>
    </xf>
    <xf numFmtId="0" fontId="9" fillId="0" borderId="0" xfId="0" applyFont="1" applyAlignment="1" applyProtection="1">
      <alignment vertical="center" wrapText="1"/>
      <protection locked="0"/>
    </xf>
    <xf numFmtId="0" fontId="9" fillId="0" borderId="1" xfId="0" applyFont="1" applyBorder="1" applyAlignment="1" applyProtection="1">
      <alignment horizontal="center" vertical="center" wrapText="1"/>
      <protection locked="0"/>
    </xf>
    <xf numFmtId="0" fontId="9" fillId="0" borderId="1" xfId="0" applyFont="1" applyBorder="1" applyAlignment="1" applyProtection="1">
      <alignment horizontal="left" vertical="center" wrapText="1"/>
      <protection locked="0"/>
    </xf>
    <xf numFmtId="0" fontId="9" fillId="4" borderId="1" xfId="0" applyFont="1" applyFill="1" applyBorder="1" applyAlignment="1" applyProtection="1">
      <alignment horizontal="left" vertical="center" wrapText="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13" fillId="2" borderId="1" xfId="0" applyFont="1" applyFill="1" applyBorder="1" applyAlignment="1" applyProtection="1">
      <alignment horizontal="center" vertical="center" wrapText="1"/>
    </xf>
    <xf numFmtId="0" fontId="9" fillId="0" borderId="3" xfId="0" applyFont="1" applyBorder="1" applyAlignment="1" applyProtection="1">
      <alignment horizontal="center" vertical="center" wrapText="1"/>
      <protection locked="0"/>
    </xf>
    <xf numFmtId="0" fontId="9" fillId="0" borderId="12" xfId="0" applyFont="1" applyBorder="1" applyAlignment="1" applyProtection="1">
      <alignment horizontal="left" vertical="center" wrapText="1"/>
      <protection locked="0"/>
    </xf>
    <xf numFmtId="0" fontId="7" fillId="0" borderId="10" xfId="0" applyFont="1" applyFill="1" applyBorder="1" applyAlignment="1" applyProtection="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D19"/>
  <sheetViews>
    <sheetView tabSelected="1" workbookViewId="0">
      <pane ySplit="1" topLeftCell="A2" activePane="bottomLeft" state="frozen"/>
      <selection pane="bottomLeft" activeCell="B2" sqref="B2"/>
    </sheetView>
  </sheetViews>
  <sheetFormatPr defaultColWidth="9.140625" defaultRowHeight="24" customHeight="1"/>
  <cols>
    <col min="1" max="1" width="28.42578125" style="11" customWidth="1"/>
    <col min="2" max="2" width="59" style="11" customWidth="1"/>
    <col min="3" max="3" width="30.7109375" style="11" customWidth="1"/>
    <col min="4" max="4" width="41.85546875" style="11" customWidth="1"/>
    <col min="5" max="16384" width="9.140625" style="11"/>
  </cols>
  <sheetData>
    <row r="1" spans="1:4" ht="41.25" customHeight="1">
      <c r="A1" s="60" t="s">
        <v>545</v>
      </c>
      <c r="B1" s="60"/>
      <c r="C1" s="60"/>
      <c r="D1" s="60"/>
    </row>
    <row r="2" spans="1:4" ht="32.25" customHeight="1">
      <c r="A2" s="28" t="s">
        <v>546</v>
      </c>
      <c r="B2" s="12"/>
      <c r="C2" s="29" t="s">
        <v>547</v>
      </c>
      <c r="D2" s="13"/>
    </row>
    <row r="3" spans="1:4" ht="21.75" customHeight="1">
      <c r="A3" s="59" t="s">
        <v>0</v>
      </c>
      <c r="B3" s="59"/>
      <c r="C3" s="59"/>
      <c r="D3" s="59"/>
    </row>
    <row r="4" spans="1:4" ht="24" customHeight="1">
      <c r="A4" s="60"/>
      <c r="B4" s="60"/>
      <c r="C4" s="60"/>
      <c r="D4" s="60"/>
    </row>
    <row r="5" spans="1:4" ht="24" customHeight="1">
      <c r="A5" s="30" t="s">
        <v>548</v>
      </c>
      <c r="B5" s="14"/>
      <c r="C5" s="31" t="s">
        <v>549</v>
      </c>
      <c r="D5" s="15"/>
    </row>
    <row r="6" spans="1:4" ht="24" customHeight="1">
      <c r="A6" s="33" t="s">
        <v>536</v>
      </c>
      <c r="B6" s="16"/>
      <c r="C6" s="32" t="s">
        <v>537</v>
      </c>
      <c r="D6" s="17"/>
    </row>
    <row r="7" spans="1:4" ht="36.6" customHeight="1">
      <c r="A7" s="33" t="s">
        <v>538</v>
      </c>
      <c r="B7" s="16"/>
      <c r="C7" s="32" t="s">
        <v>807</v>
      </c>
      <c r="D7" s="49"/>
    </row>
    <row r="8" spans="1:4" ht="36.75" customHeight="1">
      <c r="A8" s="34" t="s">
        <v>539</v>
      </c>
      <c r="B8" s="18"/>
      <c r="C8" s="35" t="s">
        <v>540</v>
      </c>
      <c r="D8" s="19"/>
    </row>
    <row r="9" spans="1:4" ht="12" customHeight="1">
      <c r="A9" s="59" t="s">
        <v>1</v>
      </c>
      <c r="B9" s="59"/>
      <c r="C9" s="59"/>
      <c r="D9" s="59"/>
    </row>
    <row r="10" spans="1:4" ht="24" customHeight="1">
      <c r="A10" s="60"/>
      <c r="B10" s="60"/>
      <c r="C10" s="60"/>
      <c r="D10" s="60"/>
    </row>
    <row r="11" spans="1:4" ht="24" customHeight="1">
      <c r="A11" s="30" t="s">
        <v>550</v>
      </c>
      <c r="B11" s="20"/>
      <c r="C11" s="31" t="s">
        <v>541</v>
      </c>
      <c r="D11" s="21"/>
    </row>
    <row r="12" spans="1:4" ht="24" customHeight="1">
      <c r="A12" s="33" t="s">
        <v>542</v>
      </c>
      <c r="B12" s="22"/>
      <c r="C12" s="32" t="s">
        <v>544</v>
      </c>
      <c r="D12" s="23"/>
    </row>
    <row r="13" spans="1:4" ht="28.9" customHeight="1">
      <c r="A13" s="57" t="s">
        <v>543</v>
      </c>
      <c r="B13" s="24"/>
      <c r="C13" s="36" t="e">
        <f>VLOOKUP(B13,Danh_muc!$A$2:$B$82,2,FALSE)</f>
        <v>#N/A</v>
      </c>
      <c r="D13" s="25"/>
    </row>
    <row r="14" spans="1:4" ht="30" customHeight="1">
      <c r="A14" s="57"/>
      <c r="B14" s="24"/>
      <c r="C14" s="36" t="e">
        <f>VLOOKUP(B14,Danh_muc!$A$2:$B$82,2,FALSE)</f>
        <v>#N/A</v>
      </c>
      <c r="D14" s="25"/>
    </row>
    <row r="15" spans="1:4" ht="30" customHeight="1">
      <c r="A15" s="57"/>
      <c r="B15" s="24"/>
      <c r="C15" s="36" t="e">
        <f>VLOOKUP(B15,Danh_muc!$A$2:$B$82,2,FALSE)</f>
        <v>#N/A</v>
      </c>
      <c r="D15" s="25"/>
    </row>
    <row r="16" spans="1:4" ht="30" customHeight="1">
      <c r="A16" s="57"/>
      <c r="B16" s="24"/>
      <c r="C16" s="36" t="e">
        <f>VLOOKUP(B16,Danh_muc!$A$2:$B$82,2,FALSE)</f>
        <v>#N/A</v>
      </c>
      <c r="D16" s="25"/>
    </row>
    <row r="17" spans="1:4" ht="30" customHeight="1">
      <c r="A17" s="57"/>
      <c r="B17" s="24"/>
      <c r="C17" s="36" t="e">
        <f>VLOOKUP(B17,Danh_muc!$A$2:$B$82,2,FALSE)</f>
        <v>#N/A</v>
      </c>
      <c r="D17" s="25"/>
    </row>
    <row r="18" spans="1:4" ht="30" customHeight="1">
      <c r="A18" s="57"/>
      <c r="B18" s="24"/>
      <c r="C18" s="36" t="e">
        <f>VLOOKUP(B18,Danh_muc!$A$2:$B$82,2,FALSE)</f>
        <v>#N/A</v>
      </c>
      <c r="D18" s="25"/>
    </row>
    <row r="19" spans="1:4" ht="27.75" customHeight="1">
      <c r="A19" s="58"/>
      <c r="B19" s="26"/>
      <c r="C19" s="37" t="e">
        <f>VLOOKUP(B19,Danh_muc!$A$2:$B$82,2,FALSE)</f>
        <v>#N/A</v>
      </c>
      <c r="D19" s="27"/>
    </row>
  </sheetData>
  <sheetProtection password="D6E3" sheet="1" objects="1" scenarios="1" formatCells="0" formatColumns="0" formatRows="0" selectLockedCells="1"/>
  <dataConsolidate/>
  <mergeCells count="4">
    <mergeCell ref="A13:A19"/>
    <mergeCell ref="A9:D10"/>
    <mergeCell ref="A1:D1"/>
    <mergeCell ref="A3:D4"/>
  </mergeCells>
  <dataValidations count="11">
    <dataValidation type="textLength" operator="lessThanOrEqual" allowBlank="1" showErrorMessage="1" errorTitle="Cảnh báo" error="Độ dài dữ liệu không hợp lệ. Không vượt quá 255 ký tự." promptTitle="Cảnh báo" prompt="Độ dài dữ liệu không hợp lệ. Không vượt quá 255 ký tự." sqref="B2">
      <formula1>255</formula1>
    </dataValidation>
    <dataValidation type="textLength" operator="lessThanOrEqual" allowBlank="1" showErrorMessage="1" errorTitle="Cảnh báo" error="Độ dài dữ liệu không hợp lệ. Không vượt quá 255 ký tự." sqref="D2">
      <formula1>500</formula1>
    </dataValidation>
    <dataValidation type="textLength" operator="lessThanOrEqual" allowBlank="1" showErrorMessage="1" errorTitle="Cảnh báo" error="Độ dài dữ liệu không hợp lệ. Không vượt quá 255 ký tự." sqref="B5">
      <formula1>255</formula1>
    </dataValidation>
    <dataValidation type="textLength" operator="lessThanOrEqual" allowBlank="1" showErrorMessage="1" errorTitle="Cảnh báo" error="Độ dài dữ liệu không hợp lệ. Không vượt quá 500 ký tự." sqref="D5 D8">
      <formula1>500</formula1>
    </dataValidation>
    <dataValidation type="textLength" operator="lessThanOrEqual" allowBlank="1" showErrorMessage="1" errorTitle="Cảnh báo" error="Độ dài dữ liệu không hợp lệ. Không vượt quá 50 ký tự." sqref="B7 B11">
      <formula1>50</formula1>
    </dataValidation>
    <dataValidation type="textLength" operator="lessThanOrEqual" allowBlank="1" showErrorMessage="1" errorTitle="Cảnh báo" error="Độ dài dữ liệu không hợp lệ. Không vượt quá 255 ký tự." sqref="B8">
      <formula1>255</formula1>
    </dataValidation>
    <dataValidation type="textLength" operator="lessThanOrEqual" allowBlank="1" showInputMessage="1" showErrorMessage="1" errorTitle="Cảnh báo" error="Định dạng ngày tháng không hợp lệ" sqref="D11">
      <formula1>10</formula1>
    </dataValidation>
    <dataValidation type="textLength" operator="lessThanOrEqual" allowBlank="1" showInputMessage="1" showErrorMessage="1" errorTitle="Cảnh báo" error="Độ dài dữ liệu không hợp lệ. Không vượt quá 255 ký tự." sqref="B12">
      <formula1>255</formula1>
    </dataValidation>
    <dataValidation type="textLength" operator="lessThanOrEqual" allowBlank="1" showErrorMessage="1" errorTitle="Cảnh báo" error="Độ dài dữ liệu không hợp lệ. Không vượt quá 2000 ký tự." sqref="D12">
      <formula1>2000</formula1>
    </dataValidation>
    <dataValidation allowBlank="1" showInputMessage="1" showErrorMessage="1" errorTitle="Cảnh báo" error="Bạn chỉ có thể chọn trong danh sách Tên nước xuất xứ hiện có" sqref="D7"/>
    <dataValidation type="list" allowBlank="1" showInputMessage="1" showErrorMessage="1" sqref="B13:B19">
      <formula1>Danh_muc!A$2:A$63</formula1>
    </dataValidation>
  </dataValidations>
  <pageMargins left="0.7" right="0.7" top="0.75" bottom="0.75" header="0.3" footer="0.3"/>
  <pageSetup orientation="portrait" r:id="rId1"/>
  <legacyDrawing r:id="rId2"/>
  <extLst xmlns:x14="http://schemas.microsoft.com/office/spreadsheetml/2009/9/main">
    <ext uri="{CCE6A557-97BC-4b89-ADB6-D9C93CAAB3DF}">
      <x14:dataValidations xmlns:xm="http://schemas.microsoft.com/office/excel/2006/main" count="2">
        <x14:dataValidation type="list" allowBlank="1" showErrorMessage="1" errorTitle="Cảnh báo" error="Bạn chỉ có thể chọn trong danh sách tiêu chuẩn hiện có">
          <x14:formula1>
            <xm:f>Danh_muc!$A$2:$A$52</xm:f>
          </x14:formula1>
          <xm:sqref>B14:B19</xm:sqref>
        </x14:dataValidation>
        <x14:dataValidation type="list" allowBlank="1" showErrorMessage="1" errorTitle="Cảnh báo" error="Bạn chỉ có thể chọn trong danh sách tiêu chuẩn hiện có">
          <x14:formula1>
            <xm:f>Danh_muc!$A$2:$A$63</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dimension ref="A1:E20"/>
  <sheetViews>
    <sheetView workbookViewId="0">
      <pane ySplit="1" topLeftCell="A2" activePane="bottomLeft" state="frozen"/>
      <selection pane="bottomLeft" activeCell="B2" sqref="B2"/>
    </sheetView>
  </sheetViews>
  <sheetFormatPr defaultColWidth="9.140625" defaultRowHeight="24" customHeight="1"/>
  <cols>
    <col min="1" max="1" width="28.5703125" style="38" customWidth="1"/>
    <col min="2" max="2" width="39.85546875" style="38" customWidth="1"/>
    <col min="3" max="3" width="32" style="38" customWidth="1"/>
    <col min="4" max="4" width="43" style="38" customWidth="1"/>
    <col min="5" max="5" width="9.140625" style="38" hidden="1" customWidth="1"/>
    <col min="6" max="16384" width="9.140625" style="38"/>
  </cols>
  <sheetData>
    <row r="1" spans="1:5" ht="37.5" customHeight="1">
      <c r="A1" s="60" t="s">
        <v>3</v>
      </c>
      <c r="B1" s="60"/>
      <c r="C1" s="60"/>
      <c r="D1" s="60"/>
    </row>
    <row r="2" spans="1:5" ht="24" customHeight="1">
      <c r="A2" s="28" t="s">
        <v>551</v>
      </c>
      <c r="B2" s="39"/>
      <c r="C2" s="29" t="s">
        <v>552</v>
      </c>
      <c r="D2" s="40"/>
      <c r="E2" s="38" t="e">
        <f>VLOOKUP(B2,Danh_muc!$H$2:$I$49,2,FALSE)</f>
        <v>#N/A</v>
      </c>
    </row>
    <row r="3" spans="1:5" ht="12" customHeight="1">
      <c r="A3" s="59" t="s">
        <v>4</v>
      </c>
      <c r="B3" s="59"/>
      <c r="C3" s="59"/>
      <c r="D3" s="59"/>
    </row>
    <row r="4" spans="1:5" ht="24" customHeight="1">
      <c r="A4" s="60"/>
      <c r="B4" s="60"/>
      <c r="C4" s="60"/>
      <c r="D4" s="60"/>
    </row>
    <row r="5" spans="1:5" ht="24" customHeight="1">
      <c r="A5" s="30" t="s">
        <v>553</v>
      </c>
      <c r="B5" s="41"/>
      <c r="C5" s="31" t="s">
        <v>554</v>
      </c>
      <c r="D5" s="42"/>
    </row>
    <row r="6" spans="1:5" ht="57" customHeight="1">
      <c r="A6" s="54" t="s">
        <v>556</v>
      </c>
      <c r="B6" s="43"/>
      <c r="C6" s="35" t="s">
        <v>555</v>
      </c>
      <c r="D6" s="44"/>
    </row>
    <row r="7" spans="1:5" ht="9.75" customHeight="1"/>
    <row r="8" spans="1:5" ht="24" customHeight="1">
      <c r="A8" s="45" t="s">
        <v>418</v>
      </c>
    </row>
    <row r="9" spans="1:5" ht="24" customHeight="1">
      <c r="A9" s="45" t="s">
        <v>9</v>
      </c>
    </row>
    <row r="10" spans="1:5" ht="24" customHeight="1">
      <c r="A10" s="45" t="s">
        <v>10</v>
      </c>
    </row>
    <row r="11" spans="1:5" ht="21" customHeight="1">
      <c r="A11" s="45" t="s">
        <v>11</v>
      </c>
    </row>
    <row r="12" spans="1:5" ht="10.5" customHeight="1"/>
    <row r="13" spans="1:5" ht="38.25" customHeight="1">
      <c r="A13" s="60" t="s">
        <v>8</v>
      </c>
      <c r="B13" s="60"/>
      <c r="C13" s="60"/>
      <c r="D13" s="60"/>
    </row>
    <row r="14" spans="1:5" ht="107.25" customHeight="1">
      <c r="A14" s="30" t="s">
        <v>557</v>
      </c>
      <c r="B14" s="41"/>
      <c r="C14" s="46"/>
      <c r="D14" s="47"/>
    </row>
    <row r="15" spans="1:5" ht="91.5" customHeight="1">
      <c r="A15" s="53" t="s">
        <v>558</v>
      </c>
      <c r="B15" s="48"/>
      <c r="C15" s="32" t="s">
        <v>560</v>
      </c>
      <c r="D15" s="49"/>
    </row>
    <row r="16" spans="1:5" ht="82.5" customHeight="1">
      <c r="A16" s="53" t="s">
        <v>559</v>
      </c>
      <c r="B16" s="48"/>
      <c r="C16" s="32" t="s">
        <v>561</v>
      </c>
      <c r="D16" s="49"/>
    </row>
    <row r="17" spans="1:4" ht="147" customHeight="1">
      <c r="A17" s="53" t="s">
        <v>808</v>
      </c>
      <c r="B17" s="48"/>
      <c r="C17" s="32" t="s">
        <v>562</v>
      </c>
      <c r="D17" s="49"/>
    </row>
    <row r="18" spans="1:4" ht="25.5" customHeight="1">
      <c r="A18" s="50"/>
      <c r="B18" s="51"/>
      <c r="C18" s="32" t="s">
        <v>563</v>
      </c>
      <c r="D18" s="49"/>
    </row>
    <row r="19" spans="1:4" ht="120" customHeight="1">
      <c r="A19" s="53" t="s">
        <v>566</v>
      </c>
      <c r="B19" s="48"/>
      <c r="C19" s="32" t="s">
        <v>564</v>
      </c>
      <c r="D19" s="49"/>
    </row>
    <row r="20" spans="1:4" ht="24" customHeight="1">
      <c r="A20" s="54" t="s">
        <v>565</v>
      </c>
      <c r="B20" s="52"/>
      <c r="C20" s="35" t="s">
        <v>542</v>
      </c>
      <c r="D20" s="44"/>
    </row>
  </sheetData>
  <sheetProtection password="D6E3" sheet="1" objects="1" scenarios="1" formatCells="0" formatColumns="0" formatRows="0" selectLockedCells="1"/>
  <mergeCells count="3">
    <mergeCell ref="A1:D1"/>
    <mergeCell ref="A3:D4"/>
    <mergeCell ref="A13:D13"/>
  </mergeCells>
  <dataValidations count="14">
    <dataValidation type="textLength" operator="lessThanOrEqual" allowBlank="1" showErrorMessage="1" errorTitle="Cảnh báo" error="Độ dài dữ liệu không hợp lệ. Không vượt quá 255 ký tự." sqref="D6">
      <formula1>255</formula1>
    </dataValidation>
    <dataValidation type="textLength" operator="lessThanOrEqual" allowBlank="1" showInputMessage="1" showErrorMessage="1" errorTitle="Cảnh báo" error="Độ dài dữ liệu không hợp lệ. Không vượt quá 255 ký tự." sqref="B5">
      <formula1>255</formula1>
    </dataValidation>
    <dataValidation type="textLength" operator="lessThanOrEqual" allowBlank="1" showInputMessage="1" showErrorMessage="1" errorTitle="Cảnh báo" error="Độ dài dữ liệu không hợp lệ. Không vượt quá 4000 ký tự." promptTitle="Giới hạn nhập" prompt="Tối đa 4000 ký tự!" sqref="B14">
      <formula1>4000</formula1>
    </dataValidation>
    <dataValidation type="textLength" operator="lessThanOrEqual" allowBlank="1" showInputMessage="1" showErrorMessage="1" errorTitle="Cảnh báo" error="Độ dài dữ liệu không hợp lệ. Không vượt quá 4000 ký tự." promptTitle="Giới hạn nhập" prompt="Tối đa 4000 ký tự" sqref="B17">
      <formula1>4000</formula1>
    </dataValidation>
    <dataValidation type="textLength" operator="lessThanOrEqual" allowBlank="1" showErrorMessage="1" errorTitle="Cảnh báo" error="Độ dài dữ liệu không hợp lệ. Không vượt quá 500 ký tự." sqref="B19">
      <formula1>500</formula1>
    </dataValidation>
    <dataValidation type="textLength" operator="lessThanOrEqual" allowBlank="1" showInputMessage="1" showErrorMessage="1" errorTitle="Cảnh báo" error="Độ dài dữ liệu không hợp lệ. Không vượt quá 500 ký tự." sqref="D16">
      <formula1>500</formula1>
    </dataValidation>
    <dataValidation type="textLength" operator="lessThanOrEqual" allowBlank="1" showErrorMessage="1" errorTitle="Cảnh báo" error="Định dạng ngày tháng không hợp lệ" sqref="B20">
      <formula1>10</formula1>
    </dataValidation>
    <dataValidation type="textLength" operator="lessThanOrEqual" allowBlank="1" showErrorMessage="1" errorTitle="Cảnh báo" error="Độ dài dữ liệu không hợp lệ. Không vượt quá 255 ký tự." sqref="D20">
      <formula1>255</formula1>
    </dataValidation>
    <dataValidation type="textLength" operator="lessThanOrEqual" allowBlank="1" showErrorMessage="1" errorTitle="Cảnh báo" error="Độ dài dữ liệu không hợp lệ. Không vượt quá 2000 ký tự." sqref="D19 B15">
      <formula1>2000</formula1>
    </dataValidation>
    <dataValidation type="textLength" operator="lessThanOrEqual" allowBlank="1" showErrorMessage="1" errorTitle="Cảnh báo" error="Độ dài dữ liệu không hợp lệ. Không vượt quá 255 ký tự." sqref="D2 D5 B6">
      <formula1>255</formula1>
    </dataValidation>
    <dataValidation type="textLength" operator="lessThanOrEqual" allowBlank="1" showErrorMessage="1" errorTitle="Cảnh báo" error="Độ dài dữ liệu không hợp lệ. Không vượt quá 500 ký tự." sqref="D15">
      <formula1>500</formula1>
    </dataValidation>
    <dataValidation type="textLength" operator="lessThanOrEqual" allowBlank="1" showErrorMessage="1" errorTitle="Cảnh báo" error="Độ dài dữ liệu không hợp lệ. Không vượt quá 2000 ký tự." sqref="D17">
      <formula1>2000</formula1>
    </dataValidation>
    <dataValidation type="textLength" operator="lessThanOrEqual" allowBlank="1" showInputMessage="1" showErrorMessage="1" errorTitle="Cảnh báo" error="Độ dài dữ liệu không hợp lệ. Không vượt quá 2000 ký tự." promptTitle="Giới hạn nhập" prompt="Tối đa 2000 ký tự" sqref="B16">
      <formula1>2000</formula1>
    </dataValidation>
    <dataValidation type="list" allowBlank="1" showInputMessage="1" showErrorMessage="1" sqref="B2">
      <formula1>Danh_muc!$H$2:$H$57</formula1>
    </dataValidation>
  </dataValidations>
  <hyperlinks>
    <hyperlink ref="A8" location="Chi_tieu_chat_luong_chu_yeu!A1" display="Chỉ tiêu chất lượng chủ yếu"/>
    <hyperlink ref="A9" location="Chi_tieu_vi_sinh_vat!A1" display="Chỉ tiêu vi sinh vật"/>
    <hyperlink ref="A10" location="Ham_luong_kim_loai_nang!A1" display="Hàm lượng kim loại nặng"/>
    <hyperlink ref="A11" location="Ham_luong_hoa_chat!A1" display="Hàm lượng hóa chất không mong muốn"/>
  </hyperlinks>
  <pageMargins left="0.7" right="0.7" top="0.75" bottom="0.75" header="0.3" footer="0.3"/>
  <legacyDrawing r:id="rId1"/>
  <extLst xmlns:x14="http://schemas.microsoft.com/office/spreadsheetml/2009/9/main">
    <ext uri="{CCE6A557-97BC-4b89-ADB6-D9C93CAAB3DF}">
      <x14:dataValidations xmlns:xm="http://schemas.microsoft.com/office/excel/2006/main" count="1">
        <x14:dataValidation type="list" allowBlank="1" showErrorMessage="1" errorTitle="Cảnh báo" error="Bạn chỉ có thể chọn trong danh sách Tên nhóm sản phẩm hiện có">
          <x14:formula1>
            <xm:f>Danh_muc!$H$2:$H$57</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dimension ref="A1:F21"/>
  <sheetViews>
    <sheetView workbookViewId="0">
      <pane ySplit="1" topLeftCell="A2" activePane="bottomLeft" state="frozen"/>
      <selection pane="bottomLeft" activeCell="C3" sqref="C3"/>
    </sheetView>
  </sheetViews>
  <sheetFormatPr defaultColWidth="9.140625" defaultRowHeight="24" customHeight="1"/>
  <cols>
    <col min="1" max="1" width="6" style="66" customWidth="1"/>
    <col min="2" max="2" width="29.5703125" style="67" customWidth="1"/>
    <col min="3" max="3" width="26.28515625" style="67" customWidth="1"/>
    <col min="4" max="4" width="25.28515625" style="67" customWidth="1"/>
    <col min="5" max="5" width="34.42578125" style="67" customWidth="1"/>
    <col min="6" max="6" width="17.42578125" style="62" hidden="1" customWidth="1"/>
    <col min="7" max="16384" width="9.140625" style="62"/>
  </cols>
  <sheetData>
    <row r="1" spans="1:6" ht="39" customHeight="1">
      <c r="A1" s="60" t="s">
        <v>5</v>
      </c>
      <c r="B1" s="60"/>
      <c r="C1" s="60"/>
      <c r="D1" s="60"/>
      <c r="E1" s="60"/>
    </row>
    <row r="2" spans="1:6" ht="24" customHeight="1">
      <c r="A2" s="68" t="s">
        <v>6</v>
      </c>
      <c r="B2" s="68" t="s">
        <v>569</v>
      </c>
      <c r="C2" s="68" t="s">
        <v>570</v>
      </c>
      <c r="D2" s="68" t="s">
        <v>571</v>
      </c>
      <c r="E2" s="68" t="s">
        <v>7</v>
      </c>
      <c r="F2" s="62" t="s">
        <v>417</v>
      </c>
    </row>
    <row r="3" spans="1:6" ht="24" customHeight="1">
      <c r="A3" s="63"/>
      <c r="B3" s="64"/>
      <c r="C3" s="65"/>
      <c r="D3" s="64"/>
      <c r="E3" s="64"/>
      <c r="F3" s="62" t="e">
        <f>VLOOKUP(C3,Danh_muc!$E$2:$F$38,2)</f>
        <v>#N/A</v>
      </c>
    </row>
    <row r="4" spans="1:6" ht="24" customHeight="1">
      <c r="A4" s="63"/>
      <c r="B4" s="64"/>
      <c r="C4" s="65"/>
      <c r="D4" s="64"/>
      <c r="E4" s="64"/>
      <c r="F4" s="62" t="e">
        <f>VLOOKUP(C4,Danh_muc!$E$2:$F$38,2)</f>
        <v>#N/A</v>
      </c>
    </row>
    <row r="5" spans="1:6" ht="24" customHeight="1">
      <c r="A5" s="63"/>
      <c r="B5" s="64"/>
      <c r="C5" s="65"/>
      <c r="D5" s="64"/>
      <c r="E5" s="64"/>
      <c r="F5" s="62" t="e">
        <f>VLOOKUP(C5,Danh_muc!$E$2:$F$38,2)</f>
        <v>#N/A</v>
      </c>
    </row>
    <row r="6" spans="1:6" ht="24" customHeight="1">
      <c r="A6" s="63"/>
      <c r="B6" s="64"/>
      <c r="C6" s="65"/>
      <c r="D6" s="64"/>
      <c r="E6" s="64"/>
      <c r="F6" s="62" t="e">
        <f>VLOOKUP(C6,Danh_muc!$E$2:$F$38,2)</f>
        <v>#N/A</v>
      </c>
    </row>
    <row r="7" spans="1:6" ht="24" customHeight="1">
      <c r="A7" s="63"/>
      <c r="B7" s="64"/>
      <c r="C7" s="65"/>
      <c r="D7" s="64"/>
      <c r="E7" s="64"/>
      <c r="F7" s="62" t="e">
        <f>VLOOKUP(C7,Danh_muc!$E$2:$F$38,2)</f>
        <v>#N/A</v>
      </c>
    </row>
    <row r="8" spans="1:6" ht="24" customHeight="1">
      <c r="A8" s="63"/>
      <c r="B8" s="64"/>
      <c r="C8" s="65"/>
      <c r="D8" s="64"/>
      <c r="E8" s="64"/>
      <c r="F8" s="62" t="e">
        <f>VLOOKUP(C8,Danh_muc!$E$2:$F$38,2)</f>
        <v>#N/A</v>
      </c>
    </row>
    <row r="9" spans="1:6" ht="24" customHeight="1">
      <c r="A9" s="63"/>
      <c r="B9" s="64"/>
      <c r="C9" s="65"/>
      <c r="D9" s="64"/>
      <c r="E9" s="64"/>
      <c r="F9" s="62" t="e">
        <f>VLOOKUP(C9,Danh_muc!$E$2:$F$38,2)</f>
        <v>#N/A</v>
      </c>
    </row>
    <row r="10" spans="1:6" ht="24" customHeight="1">
      <c r="A10" s="63"/>
      <c r="B10" s="64"/>
      <c r="C10" s="65"/>
      <c r="D10" s="64"/>
      <c r="E10" s="64"/>
      <c r="F10" s="62" t="e">
        <f>VLOOKUP(C10,Danh_muc!$E$2:$F$38,2)</f>
        <v>#N/A</v>
      </c>
    </row>
    <row r="11" spans="1:6" ht="24" customHeight="1">
      <c r="A11" s="63"/>
      <c r="B11" s="64"/>
      <c r="C11" s="65"/>
      <c r="D11" s="64"/>
      <c r="E11" s="64"/>
      <c r="F11" s="62" t="e">
        <f>VLOOKUP(C11,Danh_muc!$E$2:$F$38,2)</f>
        <v>#N/A</v>
      </c>
    </row>
    <row r="12" spans="1:6" ht="24" customHeight="1">
      <c r="A12" s="63"/>
      <c r="B12" s="64"/>
      <c r="C12" s="65"/>
      <c r="D12" s="64"/>
      <c r="E12" s="64"/>
      <c r="F12" s="62" t="e">
        <f>VLOOKUP(C12,Danh_muc!$E$2:$F$38,2)</f>
        <v>#N/A</v>
      </c>
    </row>
    <row r="13" spans="1:6" ht="24" customHeight="1">
      <c r="A13" s="63"/>
      <c r="B13" s="64"/>
      <c r="C13" s="65"/>
      <c r="D13" s="64"/>
      <c r="E13" s="64"/>
      <c r="F13" s="62" t="e">
        <f>VLOOKUP(C13,Danh_muc!$E$2:$F$38,2)</f>
        <v>#N/A</v>
      </c>
    </row>
    <row r="14" spans="1:6" ht="24" customHeight="1">
      <c r="A14" s="63"/>
      <c r="B14" s="64"/>
      <c r="C14" s="65"/>
      <c r="D14" s="64"/>
      <c r="E14" s="64"/>
      <c r="F14" s="62" t="e">
        <f>VLOOKUP(C14,Danh_muc!$E$2:$F$38,2)</f>
        <v>#N/A</v>
      </c>
    </row>
    <row r="15" spans="1:6" ht="24" customHeight="1">
      <c r="A15" s="63"/>
      <c r="B15" s="64"/>
      <c r="C15" s="65"/>
      <c r="D15" s="64"/>
      <c r="E15" s="64"/>
      <c r="F15" s="62" t="e">
        <f>VLOOKUP(C15,Danh_muc!$E$2:$F$38,2)</f>
        <v>#N/A</v>
      </c>
    </row>
    <row r="16" spans="1:6" ht="24" customHeight="1">
      <c r="A16" s="63"/>
      <c r="B16" s="64"/>
      <c r="C16" s="65"/>
      <c r="D16" s="64"/>
      <c r="E16" s="64"/>
      <c r="F16" s="62" t="e">
        <f>VLOOKUP(C16,Danh_muc!$E$2:$F$38,2)</f>
        <v>#N/A</v>
      </c>
    </row>
    <row r="17" spans="1:6" ht="24" customHeight="1">
      <c r="A17" s="63"/>
      <c r="B17" s="64"/>
      <c r="C17" s="65"/>
      <c r="D17" s="64"/>
      <c r="E17" s="64"/>
      <c r="F17" s="62" t="e">
        <f>VLOOKUP(C17,Danh_muc!$E$2:$F$38,2)</f>
        <v>#N/A</v>
      </c>
    </row>
    <row r="18" spans="1:6" ht="24" customHeight="1">
      <c r="A18" s="63"/>
      <c r="B18" s="64"/>
      <c r="C18" s="65"/>
      <c r="D18" s="64"/>
      <c r="E18" s="64"/>
      <c r="F18" s="62" t="e">
        <f>VLOOKUP(C18,Danh_muc!$E$2:$F$38,2)</f>
        <v>#N/A</v>
      </c>
    </row>
    <row r="19" spans="1:6" ht="24" customHeight="1">
      <c r="A19" s="63"/>
      <c r="B19" s="64"/>
      <c r="C19" s="65"/>
      <c r="D19" s="64"/>
      <c r="E19" s="64"/>
      <c r="F19" s="62" t="e">
        <f>VLOOKUP(C19,Danh_muc!$E$2:$F$38,2)</f>
        <v>#N/A</v>
      </c>
    </row>
    <row r="20" spans="1:6" ht="24" customHeight="1">
      <c r="A20" s="63"/>
      <c r="B20" s="64"/>
      <c r="C20" s="65"/>
      <c r="D20" s="64"/>
      <c r="E20" s="64"/>
      <c r="F20" s="62" t="e">
        <f>VLOOKUP(C20,Danh_muc!$E$2:$F$38,2)</f>
        <v>#N/A</v>
      </c>
    </row>
    <row r="21" spans="1:6" ht="24" customHeight="1">
      <c r="F21" s="62" t="e">
        <f>VLOOKUP(C21,Danh_muc!$E$2:$F$38,2)</f>
        <v>#N/A</v>
      </c>
    </row>
  </sheetData>
  <sheetProtection password="D6E3" sheet="1" objects="1" scenarios="1" formatCells="0" formatColumns="0" formatRows="0" insertRows="0" deleteRows="0" selectLockedCells="1"/>
  <mergeCells count="1">
    <mergeCell ref="A1:E1"/>
  </mergeCells>
  <dataValidations count="3">
    <dataValidation type="textLength" operator="lessThanOrEqual" allowBlank="1" showErrorMessage="1" errorTitle="Cảnh báo" error="Độ dài dữ liệu không hợp lệ. Không vượt quá 255 ký tự." sqref="E3:E16">
      <formula1>255</formula1>
    </dataValidation>
    <dataValidation type="textLength" operator="lessThanOrEqual" allowBlank="1" showErrorMessage="1" errorTitle="Cảnh báo" error="Độ dài dữ liệu không hợp lệ. Không vượt quá 255 ký tự." sqref="B3:B16 D3:D16">
      <formula1>255</formula1>
    </dataValidation>
    <dataValidation type="list" allowBlank="1" showInputMessage="1" showErrorMessage="1" sqref="C3:C20">
      <formula1>Danh_muc!$E$2:$E$540</formula1>
    </dataValidation>
  </dataValidations>
  <pageMargins left="0.7" right="0.7" top="0.75" bottom="0.75" header="0.3" footer="0.3"/>
  <pageSetup orientation="portrait" r:id="rId1"/>
  <legacyDrawing r:id="rId2"/>
  <extLst xmlns:x14="http://schemas.microsoft.com/office/spreadsheetml/2009/9/main">
    <ext uri="{CCE6A557-97BC-4b89-ADB6-D9C93CAAB3DF}">
      <x14:dataValidations xmlns:xm="http://schemas.microsoft.com/office/excel/2006/main" count="1">
        <x14:dataValidation type="list" allowBlank="1" showErrorMessage="1" errorTitle="Cảnh báo" error="Bạn chỉ có thể chọn trong danh sách Đơn vị tính hiện có">
          <x14:formula1>
            <xm:f>Danh_muc!$E$2:$E$540</xm:f>
          </x14:formula1>
          <xm:sqref>C3:C16</xm:sqref>
        </x14:dataValidation>
      </x14:dataValidations>
    </ext>
  </extLst>
</worksheet>
</file>

<file path=xl/worksheets/sheet4.xml><?xml version="1.0" encoding="utf-8"?>
<worksheet xmlns="http://schemas.openxmlformats.org/spreadsheetml/2006/main" xmlns:r="http://schemas.openxmlformats.org/officeDocument/2006/relationships">
  <dimension ref="A1:E21"/>
  <sheetViews>
    <sheetView workbookViewId="0">
      <pane ySplit="1" topLeftCell="A2" activePane="bottomLeft" state="frozen"/>
      <selection pane="bottomLeft" activeCell="D3" sqref="D3"/>
    </sheetView>
  </sheetViews>
  <sheetFormatPr defaultColWidth="9.140625" defaultRowHeight="24" customHeight="1"/>
  <cols>
    <col min="1" max="1" width="6" style="66" customWidth="1"/>
    <col min="2" max="2" width="29.5703125" style="67" customWidth="1"/>
    <col min="3" max="3" width="25.140625" style="67" customWidth="1"/>
    <col min="4" max="4" width="33.140625" style="67" customWidth="1"/>
    <col min="5" max="5" width="17.42578125" style="62" hidden="1" customWidth="1"/>
    <col min="6" max="16384" width="9.140625" style="62"/>
  </cols>
  <sheetData>
    <row r="1" spans="1:5" ht="40.5" customHeight="1">
      <c r="A1" s="60" t="s">
        <v>9</v>
      </c>
      <c r="B1" s="60"/>
      <c r="C1" s="60"/>
      <c r="D1" s="60"/>
    </row>
    <row r="2" spans="1:5" ht="24" customHeight="1">
      <c r="A2" s="68" t="s">
        <v>6</v>
      </c>
      <c r="B2" s="68" t="s">
        <v>569</v>
      </c>
      <c r="C2" s="68" t="s">
        <v>570</v>
      </c>
      <c r="D2" s="68" t="s">
        <v>572</v>
      </c>
      <c r="E2" s="62" t="s">
        <v>417</v>
      </c>
    </row>
    <row r="3" spans="1:5" ht="24" customHeight="1">
      <c r="A3" s="63"/>
      <c r="B3" s="64"/>
      <c r="C3" s="65"/>
      <c r="D3" s="64"/>
      <c r="E3" s="62" t="e">
        <f>VLOOKUP(C3,Danh_muc!$E$2:$F$38,2)</f>
        <v>#N/A</v>
      </c>
    </row>
    <row r="4" spans="1:5" ht="24" customHeight="1">
      <c r="A4" s="63"/>
      <c r="B4" s="64"/>
      <c r="C4" s="65"/>
      <c r="D4" s="64"/>
      <c r="E4" s="62" t="e">
        <f>VLOOKUP(C4,Danh_muc!$E$2:$F$38,2)</f>
        <v>#N/A</v>
      </c>
    </row>
    <row r="5" spans="1:5" ht="24" customHeight="1">
      <c r="A5" s="63"/>
      <c r="B5" s="64"/>
      <c r="C5" s="65"/>
      <c r="D5" s="64"/>
      <c r="E5" s="62" t="e">
        <f>VLOOKUP(C5,Danh_muc!$E$2:$F$38,2)</f>
        <v>#N/A</v>
      </c>
    </row>
    <row r="6" spans="1:5" ht="24" customHeight="1">
      <c r="A6" s="63"/>
      <c r="B6" s="64"/>
      <c r="C6" s="65"/>
      <c r="D6" s="64"/>
      <c r="E6" s="62" t="e">
        <f>VLOOKUP(C6,Danh_muc!$E$2:$F$38,2)</f>
        <v>#N/A</v>
      </c>
    </row>
    <row r="7" spans="1:5" ht="24" customHeight="1">
      <c r="A7" s="63"/>
      <c r="B7" s="64"/>
      <c r="C7" s="65"/>
      <c r="D7" s="64"/>
      <c r="E7" s="62" t="e">
        <f>VLOOKUP(C7,Danh_muc!$E$2:$F$38,2)</f>
        <v>#N/A</v>
      </c>
    </row>
    <row r="8" spans="1:5" ht="24" customHeight="1">
      <c r="A8" s="63"/>
      <c r="B8" s="64"/>
      <c r="C8" s="65"/>
      <c r="D8" s="64"/>
      <c r="E8" s="62" t="e">
        <f>VLOOKUP(C8,Danh_muc!$E$2:$F$38,2)</f>
        <v>#N/A</v>
      </c>
    </row>
    <row r="9" spans="1:5" ht="24" customHeight="1">
      <c r="A9" s="63"/>
      <c r="B9" s="64"/>
      <c r="C9" s="65"/>
      <c r="D9" s="64"/>
      <c r="E9" s="62" t="e">
        <f>VLOOKUP(C9,Danh_muc!$E$2:$F$38,2)</f>
        <v>#N/A</v>
      </c>
    </row>
    <row r="10" spans="1:5" ht="24" customHeight="1">
      <c r="A10" s="63"/>
      <c r="B10" s="64"/>
      <c r="C10" s="65"/>
      <c r="D10" s="64"/>
      <c r="E10" s="62" t="e">
        <f>VLOOKUP(C10,Danh_muc!$E$2:$F$38,2)</f>
        <v>#N/A</v>
      </c>
    </row>
    <row r="11" spans="1:5" ht="24" customHeight="1">
      <c r="A11" s="63"/>
      <c r="B11" s="64"/>
      <c r="C11" s="65"/>
      <c r="D11" s="64"/>
      <c r="E11" s="62" t="e">
        <f>VLOOKUP(C11,Danh_muc!$E$2:$F$38,2)</f>
        <v>#N/A</v>
      </c>
    </row>
    <row r="12" spans="1:5" ht="24" customHeight="1">
      <c r="A12" s="63"/>
      <c r="B12" s="64"/>
      <c r="C12" s="65"/>
      <c r="D12" s="64"/>
      <c r="E12" s="62" t="e">
        <f>VLOOKUP(C12,Danh_muc!$E$2:$F$38,2)</f>
        <v>#N/A</v>
      </c>
    </row>
    <row r="13" spans="1:5" ht="24" customHeight="1">
      <c r="A13" s="63"/>
      <c r="B13" s="64"/>
      <c r="C13" s="65"/>
      <c r="D13" s="64"/>
      <c r="E13" s="62" t="e">
        <f>VLOOKUP(C13,Danh_muc!$E$2:$F$38,2)</f>
        <v>#N/A</v>
      </c>
    </row>
    <row r="14" spans="1:5" ht="24" customHeight="1">
      <c r="A14" s="63"/>
      <c r="B14" s="64"/>
      <c r="C14" s="65"/>
      <c r="D14" s="64"/>
      <c r="E14" s="62" t="e">
        <f>VLOOKUP(C14,Danh_muc!$E$2:$F$38,2)</f>
        <v>#N/A</v>
      </c>
    </row>
    <row r="15" spans="1:5" ht="24" customHeight="1">
      <c r="A15" s="63"/>
      <c r="B15" s="64"/>
      <c r="C15" s="65"/>
      <c r="D15" s="64"/>
      <c r="E15" s="62" t="e">
        <f>VLOOKUP(C15,Danh_muc!$E$2:$F$38,2)</f>
        <v>#N/A</v>
      </c>
    </row>
    <row r="16" spans="1:5" ht="24" customHeight="1">
      <c r="A16" s="63"/>
      <c r="B16" s="64"/>
      <c r="C16" s="65"/>
      <c r="D16" s="64"/>
      <c r="E16" s="62" t="e">
        <f>VLOOKUP(C16,Danh_muc!$E$2:$F$38,2)</f>
        <v>#N/A</v>
      </c>
    </row>
    <row r="17" spans="1:5" ht="24" customHeight="1">
      <c r="A17" s="63"/>
      <c r="B17" s="64"/>
      <c r="C17" s="65"/>
      <c r="D17" s="64"/>
      <c r="E17" s="62" t="e">
        <f>VLOOKUP(C17,Danh_muc!$E$2:$F$38,2)</f>
        <v>#N/A</v>
      </c>
    </row>
    <row r="18" spans="1:5" ht="24" customHeight="1">
      <c r="E18" s="62" t="e">
        <f>VLOOKUP(C18,Danh_muc!$E$2:$F$38,2)</f>
        <v>#N/A</v>
      </c>
    </row>
    <row r="19" spans="1:5" ht="24" customHeight="1">
      <c r="E19" s="62" t="e">
        <f>VLOOKUP(C19,Danh_muc!$E$2:$F$38,2)</f>
        <v>#N/A</v>
      </c>
    </row>
    <row r="20" spans="1:5" ht="24" customHeight="1">
      <c r="E20" s="62" t="e">
        <f>VLOOKUP(C20,Danh_muc!$E$2:$F$38,2)</f>
        <v>#N/A</v>
      </c>
    </row>
    <row r="21" spans="1:5" ht="24" customHeight="1">
      <c r="E21" s="62" t="e">
        <f>VLOOKUP(C21,Danh_muc!$E$2:$F$38,2)</f>
        <v>#N/A</v>
      </c>
    </row>
  </sheetData>
  <sheetProtection password="D6E3" sheet="1" objects="1" scenarios="1" formatCells="0" formatColumns="0" formatRows="0" insertRows="0" deleteRows="0" selectLockedCells="1"/>
  <mergeCells count="1">
    <mergeCell ref="A1:D1"/>
  </mergeCells>
  <dataValidations count="2">
    <dataValidation type="textLength" operator="lessThanOrEqual" allowBlank="1" showErrorMessage="1" errorTitle="Cảnh báo" error="Độ dài dữ liệu không hợp lệ. Không vượt quá 255 ký tự." sqref="D3:D14 B3:B14">
      <formula1>255</formula1>
    </dataValidation>
    <dataValidation type="list" allowBlank="1" showInputMessage="1" showErrorMessage="1" sqref="C3:C17">
      <formula1>Danh_muc!$E$2:$E$540</formula1>
    </dataValidation>
  </dataValidations>
  <pageMargins left="0.7" right="0.7" top="0.75" bottom="0.75" header="0.3" footer="0.3"/>
  <legacyDrawing r:id="rId1"/>
  <extLst xmlns:x14="http://schemas.microsoft.com/office/spreadsheetml/2009/9/main">
    <ext uri="{CCE6A557-97BC-4b89-ADB6-D9C93CAAB3DF}">
      <x14:dataValidations xmlns:xm="http://schemas.microsoft.com/office/excel/2006/main" count="1">
        <x14:dataValidation type="list" allowBlank="1" showInputMessage="1" showErrorMessage="1" errorTitle="Cảnh báo" error="Bạn chỉ có thể chọn trong danh sách Đơn vị tính hiện có">
          <x14:formula1>
            <xm:f>Danh_muc!$E$2:$E$540</xm:f>
          </x14:formula1>
          <xm:sqref>C3:C14</xm:sqref>
        </x14:dataValidation>
      </x14:dataValidations>
    </ext>
  </extLst>
</worksheet>
</file>

<file path=xl/worksheets/sheet5.xml><?xml version="1.0" encoding="utf-8"?>
<worksheet xmlns="http://schemas.openxmlformats.org/spreadsheetml/2006/main" xmlns:r="http://schemas.openxmlformats.org/officeDocument/2006/relationships">
  <dimension ref="A1:E21"/>
  <sheetViews>
    <sheetView workbookViewId="0">
      <pane ySplit="1" topLeftCell="A2" activePane="bottomLeft" state="frozen"/>
      <selection pane="bottomLeft" activeCell="D9" sqref="D9"/>
    </sheetView>
  </sheetViews>
  <sheetFormatPr defaultColWidth="9.140625" defaultRowHeight="24" customHeight="1"/>
  <cols>
    <col min="1" max="1" width="6" style="66" customWidth="1"/>
    <col min="2" max="2" width="29.5703125" style="67" customWidth="1"/>
    <col min="3" max="4" width="33" style="67" customWidth="1"/>
    <col min="5" max="5" width="17.42578125" style="62" hidden="1" customWidth="1"/>
    <col min="6" max="16384" width="9.140625" style="62"/>
  </cols>
  <sheetData>
    <row r="1" spans="1:5" ht="42.75" customHeight="1">
      <c r="A1" s="60" t="s">
        <v>10</v>
      </c>
      <c r="B1" s="60"/>
      <c r="C1" s="60"/>
      <c r="D1" s="60"/>
    </row>
    <row r="2" spans="1:5" ht="24" customHeight="1">
      <c r="A2" s="68" t="s">
        <v>6</v>
      </c>
      <c r="B2" s="68" t="s">
        <v>569</v>
      </c>
      <c r="C2" s="68" t="s">
        <v>570</v>
      </c>
      <c r="D2" s="68" t="s">
        <v>573</v>
      </c>
      <c r="E2" s="62" t="s">
        <v>417</v>
      </c>
    </row>
    <row r="3" spans="1:5" ht="24" customHeight="1">
      <c r="A3" s="63"/>
      <c r="B3" s="64"/>
      <c r="C3" s="65"/>
      <c r="D3" s="64"/>
      <c r="E3" s="62" t="e">
        <f>VLOOKUP(C3,Danh_muc!$E$2:$F$38,2)</f>
        <v>#N/A</v>
      </c>
    </row>
    <row r="4" spans="1:5" ht="24" customHeight="1">
      <c r="A4" s="63"/>
      <c r="B4" s="64"/>
      <c r="C4" s="65"/>
      <c r="D4" s="64"/>
      <c r="E4" s="62" t="e">
        <f>VLOOKUP(C4,Danh_muc!$E$2:$F$38,2)</f>
        <v>#N/A</v>
      </c>
    </row>
    <row r="5" spans="1:5" ht="24" customHeight="1">
      <c r="A5" s="63"/>
      <c r="B5" s="64"/>
      <c r="C5" s="65"/>
      <c r="D5" s="64"/>
      <c r="E5" s="62" t="e">
        <f>VLOOKUP(C5,Danh_muc!$E$2:$F$38,2)</f>
        <v>#N/A</v>
      </c>
    </row>
    <row r="6" spans="1:5" ht="24" customHeight="1">
      <c r="A6" s="63"/>
      <c r="B6" s="64"/>
      <c r="C6" s="65"/>
      <c r="D6" s="64"/>
      <c r="E6" s="62" t="e">
        <f>VLOOKUP(C6,Danh_muc!$E$2:$F$38,2)</f>
        <v>#N/A</v>
      </c>
    </row>
    <row r="7" spans="1:5" ht="24" customHeight="1">
      <c r="A7" s="63"/>
      <c r="B7" s="64"/>
      <c r="C7" s="65"/>
      <c r="D7" s="64"/>
      <c r="E7" s="62" t="e">
        <f>VLOOKUP(C7,Danh_muc!$E$2:$F$38,2)</f>
        <v>#N/A</v>
      </c>
    </row>
    <row r="8" spans="1:5" ht="24" customHeight="1">
      <c r="A8" s="63"/>
      <c r="B8" s="64"/>
      <c r="C8" s="65"/>
      <c r="D8" s="64"/>
      <c r="E8" s="62" t="e">
        <f>VLOOKUP(C8,Danh_muc!$E$2:$F$38,2)</f>
        <v>#N/A</v>
      </c>
    </row>
    <row r="9" spans="1:5" ht="24" customHeight="1">
      <c r="A9" s="63"/>
      <c r="B9" s="64"/>
      <c r="C9" s="65"/>
      <c r="D9" s="64"/>
      <c r="E9" s="62" t="e">
        <f>VLOOKUP(C9,Danh_muc!$E$2:$F$38,2)</f>
        <v>#N/A</v>
      </c>
    </row>
    <row r="10" spans="1:5" ht="24" customHeight="1">
      <c r="A10" s="63"/>
      <c r="B10" s="64"/>
      <c r="C10" s="65"/>
      <c r="D10" s="64"/>
      <c r="E10" s="62" t="e">
        <f>VLOOKUP(C10,Danh_muc!$E$2:$F$38,2)</f>
        <v>#N/A</v>
      </c>
    </row>
    <row r="11" spans="1:5" ht="24" customHeight="1">
      <c r="A11" s="63"/>
      <c r="B11" s="64"/>
      <c r="C11" s="65"/>
      <c r="D11" s="64"/>
      <c r="E11" s="62" t="e">
        <f>VLOOKUP(C11,Danh_muc!$E$2:$F$38,2)</f>
        <v>#N/A</v>
      </c>
    </row>
    <row r="12" spans="1:5" ht="24" customHeight="1">
      <c r="A12" s="63"/>
      <c r="B12" s="64"/>
      <c r="C12" s="65"/>
      <c r="D12" s="64"/>
      <c r="E12" s="62" t="e">
        <f>VLOOKUP(C12,Danh_muc!$E$2:$F$38,2)</f>
        <v>#N/A</v>
      </c>
    </row>
    <row r="13" spans="1:5" ht="24" customHeight="1">
      <c r="A13" s="63"/>
      <c r="B13" s="64"/>
      <c r="C13" s="65"/>
      <c r="D13" s="64"/>
      <c r="E13" s="62" t="e">
        <f>VLOOKUP(C13,Danh_muc!$E$2:$F$38,2)</f>
        <v>#N/A</v>
      </c>
    </row>
    <row r="14" spans="1:5" ht="24" customHeight="1">
      <c r="A14" s="63"/>
      <c r="B14" s="64"/>
      <c r="C14" s="65"/>
      <c r="D14" s="64"/>
      <c r="E14" s="62" t="e">
        <f>VLOOKUP(C14,Danh_muc!$E$2:$F$38,2)</f>
        <v>#N/A</v>
      </c>
    </row>
    <row r="15" spans="1:5" ht="24" customHeight="1">
      <c r="A15" s="63"/>
      <c r="B15" s="64"/>
      <c r="C15" s="65"/>
      <c r="D15" s="64"/>
      <c r="E15" s="62" t="e">
        <f>VLOOKUP(C15,Danh_muc!$E$2:$F$38,2)</f>
        <v>#N/A</v>
      </c>
    </row>
    <row r="16" spans="1:5" ht="24" customHeight="1">
      <c r="A16" s="63"/>
      <c r="B16" s="64"/>
      <c r="C16" s="65"/>
      <c r="D16" s="64"/>
      <c r="E16" s="62" t="e">
        <f>VLOOKUP(C16,Danh_muc!$E$2:$F$38,2)</f>
        <v>#N/A</v>
      </c>
    </row>
    <row r="17" spans="1:5" ht="24" customHeight="1">
      <c r="A17" s="63"/>
      <c r="B17" s="64"/>
      <c r="C17" s="65"/>
      <c r="D17" s="64"/>
      <c r="E17" s="62" t="e">
        <f>VLOOKUP(C17,Danh_muc!$E$2:$F$38,2)</f>
        <v>#N/A</v>
      </c>
    </row>
    <row r="18" spans="1:5" ht="24" customHeight="1">
      <c r="E18" s="62" t="e">
        <f>VLOOKUP(C18,Danh_muc!$E$2:$F$38,2)</f>
        <v>#N/A</v>
      </c>
    </row>
    <row r="19" spans="1:5" ht="24" customHeight="1">
      <c r="E19" s="62" t="e">
        <f>VLOOKUP(C19,Danh_muc!$E$2:$F$38,2)</f>
        <v>#N/A</v>
      </c>
    </row>
    <row r="20" spans="1:5" ht="24" customHeight="1">
      <c r="E20" s="62" t="e">
        <f>VLOOKUP(C20,Danh_muc!$E$2:$F$38,2)</f>
        <v>#N/A</v>
      </c>
    </row>
    <row r="21" spans="1:5" ht="24" customHeight="1">
      <c r="E21" s="62" t="e">
        <f>VLOOKUP(C21,Danh_muc!$E$2:$F$38,2)</f>
        <v>#N/A</v>
      </c>
    </row>
  </sheetData>
  <sheetProtection password="D6E3" sheet="1" objects="1" scenarios="1" formatCells="0" formatColumns="0" formatRows="0" insertRows="0" deleteRows="0" selectLockedCells="1"/>
  <mergeCells count="1">
    <mergeCell ref="A1:D1"/>
  </mergeCells>
  <dataValidations count="3">
    <dataValidation type="textLength" operator="lessThanOrEqual" allowBlank="1" showErrorMessage="1" errorTitle="Cảnh báo" error="Độ dài dữ liệu không hợp lệ. Không vượt quá 255 ký tự." sqref="D3:D17">
      <formula1>255</formula1>
    </dataValidation>
    <dataValidation type="textLength" operator="lessThanOrEqual" allowBlank="1" showErrorMessage="1" errorTitle="Cảnh báo" error="Độ dài dữ liệu không hợp lệ. Không vượt quá 255 ký tự." sqref="B3:B17">
      <formula1>255</formula1>
    </dataValidation>
    <dataValidation type="list" allowBlank="1" showInputMessage="1" showErrorMessage="1" sqref="C3:C17">
      <formula1>Danh_muc!$E$2:$E$540</formula1>
    </dataValidation>
  </dataValidations>
  <pageMargins left="0.7" right="0.7" top="0.75" bottom="0.75" header="0.3" footer="0.3"/>
  <legacyDrawing r:id="rId1"/>
  <extLst xmlns:x14="http://schemas.microsoft.com/office/spreadsheetml/2009/9/main">
    <ext uri="{CCE6A557-97BC-4b89-ADB6-D9C93CAAB3DF}">
      <x14:dataValidations xmlns:xm="http://schemas.microsoft.com/office/excel/2006/main" count="1">
        <x14:dataValidation type="list" allowBlank="1" showErrorMessage="1" errorTitle="Cảnh báo" error="Bạn chỉ có thể chọn trong danh sách Đơn vị tính hiện có">
          <x14:formula1>
            <xm:f>Danh_muc!$E$2:$E$540</xm:f>
          </x14:formula1>
          <xm:sqref>C3:C14</xm:sqref>
        </x14:dataValidation>
      </x14:dataValidations>
    </ext>
  </extLst>
</worksheet>
</file>

<file path=xl/worksheets/sheet6.xml><?xml version="1.0" encoding="utf-8"?>
<worksheet xmlns="http://schemas.openxmlformats.org/spreadsheetml/2006/main" xmlns:r="http://schemas.openxmlformats.org/officeDocument/2006/relationships">
  <dimension ref="A1:E20"/>
  <sheetViews>
    <sheetView workbookViewId="0">
      <pane ySplit="1" topLeftCell="A2" activePane="bottomLeft" state="frozen"/>
      <selection pane="bottomLeft" activeCell="B6" sqref="B6"/>
    </sheetView>
  </sheetViews>
  <sheetFormatPr defaultColWidth="9.140625" defaultRowHeight="24" customHeight="1"/>
  <cols>
    <col min="1" max="1" width="6" style="66" customWidth="1"/>
    <col min="2" max="2" width="29.5703125" style="67" customWidth="1"/>
    <col min="3" max="3" width="29.28515625" style="67" customWidth="1"/>
    <col min="4" max="4" width="35" style="67" customWidth="1"/>
    <col min="5" max="5" width="17.42578125" style="62" hidden="1" customWidth="1"/>
    <col min="6" max="16384" width="9.140625" style="62"/>
  </cols>
  <sheetData>
    <row r="1" spans="1:5" ht="48" customHeight="1">
      <c r="A1" s="60" t="s">
        <v>11</v>
      </c>
      <c r="B1" s="60"/>
      <c r="C1" s="60"/>
      <c r="D1" s="60"/>
    </row>
    <row r="2" spans="1:5" ht="24" customHeight="1">
      <c r="A2" s="68" t="s">
        <v>6</v>
      </c>
      <c r="B2" s="68" t="s">
        <v>569</v>
      </c>
      <c r="C2" s="68" t="s">
        <v>570</v>
      </c>
      <c r="D2" s="68" t="s">
        <v>573</v>
      </c>
      <c r="E2" s="62" t="s">
        <v>417</v>
      </c>
    </row>
    <row r="3" spans="1:5" ht="24" customHeight="1">
      <c r="A3" s="63"/>
      <c r="B3" s="64"/>
      <c r="C3" s="65"/>
      <c r="D3" s="64"/>
      <c r="E3" s="62" t="e">
        <f>VLOOKUP(C3,Danh_muc!$E$2:$F$38,2)</f>
        <v>#N/A</v>
      </c>
    </row>
    <row r="4" spans="1:5" ht="24" customHeight="1">
      <c r="A4" s="63"/>
      <c r="B4" s="64"/>
      <c r="C4" s="65"/>
      <c r="D4" s="64"/>
      <c r="E4" s="62" t="e">
        <f>VLOOKUP(C4,Danh_muc!$E$2:$F$38,2)</f>
        <v>#N/A</v>
      </c>
    </row>
    <row r="5" spans="1:5" ht="24" customHeight="1">
      <c r="A5" s="63"/>
      <c r="B5" s="64"/>
      <c r="C5" s="65"/>
      <c r="D5" s="64"/>
      <c r="E5" s="62" t="e">
        <f>VLOOKUP(C5,Danh_muc!$E$2:$F$38,2)</f>
        <v>#N/A</v>
      </c>
    </row>
    <row r="6" spans="1:5" ht="24" customHeight="1">
      <c r="A6" s="63"/>
      <c r="B6" s="64"/>
      <c r="C6" s="65"/>
      <c r="D6" s="64"/>
      <c r="E6" s="62" t="e">
        <f>VLOOKUP(C6,Danh_muc!$E$2:$F$38,2)</f>
        <v>#N/A</v>
      </c>
    </row>
    <row r="7" spans="1:5" ht="24" customHeight="1">
      <c r="A7" s="63"/>
      <c r="B7" s="64"/>
      <c r="C7" s="65"/>
      <c r="D7" s="64"/>
      <c r="E7" s="62" t="e">
        <f>VLOOKUP(C7,Danh_muc!$E$2:$F$38,2)</f>
        <v>#N/A</v>
      </c>
    </row>
    <row r="8" spans="1:5" ht="24" customHeight="1">
      <c r="A8" s="63"/>
      <c r="B8" s="64"/>
      <c r="C8" s="65"/>
      <c r="D8" s="64"/>
      <c r="E8" s="62" t="e">
        <f>VLOOKUP(C8,Danh_muc!$E$2:$F$38,2)</f>
        <v>#N/A</v>
      </c>
    </row>
    <row r="9" spans="1:5" ht="24" customHeight="1">
      <c r="A9" s="63"/>
      <c r="B9" s="64"/>
      <c r="C9" s="65"/>
      <c r="D9" s="64"/>
      <c r="E9" s="62" t="e">
        <f>VLOOKUP(C9,Danh_muc!$E$2:$F$38,2)</f>
        <v>#N/A</v>
      </c>
    </row>
    <row r="10" spans="1:5" ht="24" customHeight="1">
      <c r="A10" s="63"/>
      <c r="B10" s="64"/>
      <c r="C10" s="65"/>
      <c r="D10" s="64"/>
      <c r="E10" s="62" t="e">
        <f>VLOOKUP(C10,Danh_muc!$E$2:$F$38,2)</f>
        <v>#N/A</v>
      </c>
    </row>
    <row r="11" spans="1:5" ht="24" customHeight="1">
      <c r="A11" s="63"/>
      <c r="B11" s="64"/>
      <c r="C11" s="65"/>
      <c r="D11" s="64"/>
      <c r="E11" s="62" t="e">
        <f>VLOOKUP(C11,Danh_muc!$E$2:$F$38,2)</f>
        <v>#N/A</v>
      </c>
    </row>
    <row r="12" spans="1:5" ht="24" customHeight="1">
      <c r="A12" s="63"/>
      <c r="B12" s="64"/>
      <c r="C12" s="65"/>
      <c r="D12" s="64"/>
      <c r="E12" s="62" t="e">
        <f>VLOOKUP(C12,Danh_muc!$E$2:$F$38,2)</f>
        <v>#N/A</v>
      </c>
    </row>
    <row r="13" spans="1:5" ht="24" customHeight="1">
      <c r="A13" s="69"/>
      <c r="B13" s="69"/>
      <c r="C13" s="69"/>
      <c r="D13" s="69"/>
    </row>
    <row r="14" spans="1:5" ht="177" customHeight="1">
      <c r="B14" s="71" t="s">
        <v>567</v>
      </c>
      <c r="C14" s="70" t="s">
        <v>568</v>
      </c>
      <c r="E14" s="62" t="s">
        <v>309</v>
      </c>
    </row>
    <row r="15" spans="1:5" ht="24" customHeight="1">
      <c r="E15" s="62" t="e">
        <f>VLOOKUP(C15,Danh_muc!$E$2:$F$38,2)</f>
        <v>#N/A</v>
      </c>
    </row>
    <row r="16" spans="1:5" ht="24" customHeight="1">
      <c r="E16" s="62" t="e">
        <f>VLOOKUP(C16,Danh_muc!$E$2:$F$38,2)</f>
        <v>#N/A</v>
      </c>
    </row>
    <row r="17" spans="5:5" ht="24" customHeight="1">
      <c r="E17" s="62" t="e">
        <f>VLOOKUP(C17,Danh_muc!$E$2:$F$38,2)</f>
        <v>#N/A</v>
      </c>
    </row>
    <row r="18" spans="5:5" ht="24" customHeight="1">
      <c r="E18" s="62" t="e">
        <f>VLOOKUP(C18,Danh_muc!$E$2:$F$38,2)</f>
        <v>#N/A</v>
      </c>
    </row>
    <row r="19" spans="5:5" ht="24" customHeight="1">
      <c r="E19" s="62" t="e">
        <f>VLOOKUP(C19,Danh_muc!$E$2:$F$38,2)</f>
        <v>#N/A</v>
      </c>
    </row>
    <row r="20" spans="5:5" ht="24" customHeight="1">
      <c r="E20" s="62" t="e">
        <f>VLOOKUP(C20,Danh_muc!$E$2:$F$38,2)</f>
        <v>#N/A</v>
      </c>
    </row>
  </sheetData>
  <sheetProtection password="D6E3" sheet="1" objects="1" scenarios="1" formatCells="0" formatColumns="0" formatRows="0" insertRows="0" selectLockedCells="1"/>
  <mergeCells count="2">
    <mergeCell ref="A1:D1"/>
    <mergeCell ref="A13:D13"/>
  </mergeCells>
  <dataValidations count="3">
    <dataValidation type="textLength" operator="lessThanOrEqual" allowBlank="1" showErrorMessage="1" errorTitle="Cảnh báo" error="Độ dài dữ liệu không hợp lệ. Không vượt quá 255 ký tự." sqref="D3:D12">
      <formula1>255</formula1>
    </dataValidation>
    <dataValidation type="textLength" operator="lessThanOrEqual" allowBlank="1" showErrorMessage="1" errorTitle="Cảnh báo" error="Độ dài dữ liệu không hợp lệ. Không vượt quá 255 ký tự." sqref="B3:B12">
      <formula1>255</formula1>
    </dataValidation>
    <dataValidation type="list" allowBlank="1" showInputMessage="1" showErrorMessage="1" sqref="C3:C12">
      <formula1>Danh_muc!$E$2:$E$540</formula1>
    </dataValidation>
  </dataValidations>
  <pageMargins left="0.7" right="0.7" top="0.75" bottom="0.75" header="0.3" footer="0.3"/>
  <legacyDrawing r:id="rId1"/>
  <extLst xmlns:x14="http://schemas.microsoft.com/office/spreadsheetml/2009/9/main">
    <ext uri="{CCE6A557-97BC-4b89-ADB6-D9C93CAAB3DF}">
      <x14:dataValidations xmlns:xm="http://schemas.microsoft.com/office/excel/2006/main" count="1">
        <x14:dataValidation type="list" allowBlank="1" showErrorMessage="1" errorTitle="Cảnh báo" error="Bạn chỉ có thể chọn trong danh sách Đơn vị tính hiện có">
          <x14:formula1>
            <xm:f>Danh_muc!$E$2:$E$540</xm:f>
          </x14:formula1>
          <xm:sqref>C3:C12</xm:sqref>
        </x14:dataValidation>
      </x14:dataValidations>
    </ext>
  </extLst>
</worksheet>
</file>

<file path=xl/worksheets/sheet7.xml><?xml version="1.0" encoding="utf-8"?>
<worksheet xmlns="http://schemas.openxmlformats.org/spreadsheetml/2006/main" xmlns:r="http://schemas.openxmlformats.org/officeDocument/2006/relationships">
  <dimension ref="A1:I9"/>
  <sheetViews>
    <sheetView topLeftCell="E1" workbookViewId="0">
      <pane ySplit="1" topLeftCell="A2" activePane="bottomLeft" state="frozen"/>
      <selection pane="bottomLeft" activeCell="G11" sqref="G11"/>
    </sheetView>
  </sheetViews>
  <sheetFormatPr defaultColWidth="9.140625" defaultRowHeight="24" customHeight="1"/>
  <cols>
    <col min="1" max="1" width="6" style="7" customWidth="1"/>
    <col min="2" max="2" width="31" style="9" customWidth="1"/>
    <col min="3" max="3" width="26.28515625" style="9" customWidth="1"/>
    <col min="4" max="4" width="25.28515625" style="9" customWidth="1"/>
    <col min="5" max="5" width="26.85546875" style="9" customWidth="1"/>
    <col min="6" max="6" width="32.28515625" style="9" customWidth="1"/>
    <col min="7" max="7" width="32.5703125" style="9" customWidth="1"/>
    <col min="8" max="9" width="26.85546875" style="9" customWidth="1"/>
    <col min="10" max="16384" width="9.140625" style="5"/>
  </cols>
  <sheetData>
    <row r="1" spans="1:9" ht="42.75" customHeight="1">
      <c r="A1" s="61" t="s">
        <v>12</v>
      </c>
      <c r="B1" s="61"/>
      <c r="C1" s="61"/>
      <c r="D1" s="61"/>
      <c r="E1" s="61"/>
      <c r="F1" s="61"/>
      <c r="G1" s="61"/>
      <c r="H1" s="61"/>
      <c r="I1" s="61"/>
    </row>
    <row r="2" spans="1:9" ht="39" customHeight="1">
      <c r="A2" s="10" t="s">
        <v>6</v>
      </c>
      <c r="B2" s="10" t="s">
        <v>574</v>
      </c>
      <c r="C2" s="10" t="s">
        <v>13</v>
      </c>
      <c r="D2" s="10" t="s">
        <v>14</v>
      </c>
      <c r="E2" s="10" t="s">
        <v>15</v>
      </c>
      <c r="F2" s="10" t="s">
        <v>16</v>
      </c>
      <c r="G2" s="10" t="s">
        <v>17</v>
      </c>
      <c r="H2" s="10" t="s">
        <v>18</v>
      </c>
      <c r="I2" s="10" t="s">
        <v>19</v>
      </c>
    </row>
    <row r="3" spans="1:9" ht="24" customHeight="1">
      <c r="A3" s="6"/>
      <c r="B3" s="8"/>
      <c r="C3" s="8"/>
      <c r="D3" s="8"/>
      <c r="E3" s="8"/>
      <c r="F3" s="8"/>
      <c r="G3" s="8"/>
      <c r="H3" s="8"/>
      <c r="I3" s="8"/>
    </row>
    <row r="4" spans="1:9" ht="24" customHeight="1">
      <c r="A4" s="6"/>
      <c r="B4" s="8"/>
      <c r="C4" s="8"/>
      <c r="D4" s="8"/>
      <c r="E4" s="8"/>
      <c r="F4" s="8"/>
      <c r="G4" s="8"/>
      <c r="H4" s="8"/>
      <c r="I4" s="8"/>
    </row>
    <row r="5" spans="1:9" ht="24" customHeight="1">
      <c r="A5" s="6"/>
      <c r="B5" s="8"/>
      <c r="C5" s="8"/>
      <c r="D5" s="8"/>
      <c r="E5" s="8"/>
      <c r="F5" s="8"/>
      <c r="G5" s="8"/>
      <c r="H5" s="8"/>
      <c r="I5" s="8"/>
    </row>
    <row r="6" spans="1:9" ht="24" customHeight="1">
      <c r="A6" s="6"/>
      <c r="B6" s="8"/>
      <c r="C6" s="8"/>
      <c r="D6" s="8"/>
      <c r="E6" s="8"/>
      <c r="F6" s="8"/>
      <c r="G6" s="8"/>
      <c r="H6" s="8"/>
      <c r="I6" s="8"/>
    </row>
    <row r="7" spans="1:9" ht="24" customHeight="1">
      <c r="A7" s="6"/>
      <c r="B7" s="8"/>
      <c r="C7" s="8"/>
      <c r="D7" s="8"/>
      <c r="E7" s="8"/>
      <c r="F7" s="8"/>
      <c r="G7" s="8"/>
      <c r="H7" s="8"/>
      <c r="I7" s="8"/>
    </row>
    <row r="9" spans="1:9" ht="24" customHeight="1">
      <c r="G9" s="55"/>
    </row>
  </sheetData>
  <mergeCells count="1">
    <mergeCell ref="A1:I1"/>
  </mergeCells>
  <dataValidations count="2">
    <dataValidation type="textLength" operator="lessThanOrEqual" allowBlank="1" showErrorMessage="1" errorTitle="Cảnh báo" error="Độ dài dữ liệu không hợp lệ. Không vượt quá 255 ký tự." sqref="B3:H7">
      <formula1>255</formula1>
    </dataValidation>
    <dataValidation type="textLength" operator="lessThanOrEqual" allowBlank="1" showErrorMessage="1" errorTitle="Cảnh báo" error="Độ dài dữ liệu không hợp lệ. Không vượt quá 500 ký tự." sqref="I3:I7">
      <formula1>500</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L540"/>
  <sheetViews>
    <sheetView workbookViewId="0">
      <selection activeCell="H5" sqref="H5"/>
    </sheetView>
  </sheetViews>
  <sheetFormatPr defaultColWidth="9.140625" defaultRowHeight="22.5" customHeight="1"/>
  <cols>
    <col min="1" max="1" width="39.28515625" style="2" customWidth="1"/>
    <col min="2" max="2" width="112.7109375" style="2" customWidth="1"/>
    <col min="3" max="3" width="55.85546875" style="1" customWidth="1"/>
    <col min="4" max="4" width="6" style="2" customWidth="1"/>
    <col min="5" max="5" width="14.28515625" style="2" customWidth="1"/>
    <col min="6" max="6" width="15" style="2" customWidth="1"/>
    <col min="7" max="7" width="8.85546875"/>
    <col min="8" max="8" width="34" style="2" customWidth="1"/>
    <col min="9" max="10" width="9.140625" style="2"/>
    <col min="11" max="11" width="23" style="2" customWidth="1"/>
    <col min="12" max="12" width="19.7109375" style="2" customWidth="1"/>
    <col min="13" max="16384" width="9.140625" style="2"/>
  </cols>
  <sheetData>
    <row r="1" spans="1:12" ht="22.5" customHeight="1">
      <c r="A1" s="3" t="s">
        <v>2</v>
      </c>
      <c r="B1" s="3"/>
      <c r="E1" s="3" t="s">
        <v>352</v>
      </c>
      <c r="H1" s="3" t="s">
        <v>419</v>
      </c>
      <c r="I1" s="3"/>
      <c r="K1" s="3" t="s">
        <v>307</v>
      </c>
      <c r="L1" s="3" t="s">
        <v>353</v>
      </c>
    </row>
    <row r="2" spans="1:12" ht="22.5" customHeight="1">
      <c r="A2" s="2" t="s">
        <v>809</v>
      </c>
      <c r="B2" s="2" t="s">
        <v>810</v>
      </c>
      <c r="E2" s="56" t="s">
        <v>885</v>
      </c>
      <c r="F2" t="s">
        <v>885</v>
      </c>
      <c r="H2" s="2" t="s">
        <v>494</v>
      </c>
      <c r="I2" s="2" t="s">
        <v>495</v>
      </c>
      <c r="K2" s="4" t="s">
        <v>63</v>
      </c>
      <c r="L2" s="1" t="s">
        <v>354</v>
      </c>
    </row>
    <row r="3" spans="1:12" ht="22.5" customHeight="1">
      <c r="A3" s="2" t="s">
        <v>811</v>
      </c>
      <c r="B3" s="2" t="s">
        <v>812</v>
      </c>
      <c r="E3" s="56" t="s">
        <v>308</v>
      </c>
      <c r="F3" t="s">
        <v>309</v>
      </c>
      <c r="H3" s="2" t="s">
        <v>1263</v>
      </c>
      <c r="I3" s="2" t="s">
        <v>463</v>
      </c>
      <c r="K3" s="4" t="s">
        <v>64</v>
      </c>
      <c r="L3" s="1" t="s">
        <v>355</v>
      </c>
    </row>
    <row r="4" spans="1:12" ht="15.75">
      <c r="A4" s="2" t="s">
        <v>813</v>
      </c>
      <c r="B4" s="2" t="s">
        <v>814</v>
      </c>
      <c r="E4" s="56" t="s">
        <v>575</v>
      </c>
      <c r="F4" t="s">
        <v>575</v>
      </c>
      <c r="H4" s="2" t="s">
        <v>487</v>
      </c>
      <c r="I4" s="2" t="s">
        <v>486</v>
      </c>
      <c r="K4" s="4" t="s">
        <v>65</v>
      </c>
      <c r="L4" s="1" t="s">
        <v>356</v>
      </c>
    </row>
    <row r="5" spans="1:12" ht="15.75">
      <c r="A5" s="2" t="s">
        <v>815</v>
      </c>
      <c r="B5" s="2" t="s">
        <v>816</v>
      </c>
      <c r="E5" s="56" t="s">
        <v>576</v>
      </c>
      <c r="F5" t="s">
        <v>576</v>
      </c>
      <c r="H5" s="2" t="s">
        <v>440</v>
      </c>
      <c r="I5" s="2" t="s">
        <v>462</v>
      </c>
      <c r="K5" s="4" t="s">
        <v>66</v>
      </c>
      <c r="L5" s="1" t="s">
        <v>357</v>
      </c>
    </row>
    <row r="6" spans="1:12" ht="15.75">
      <c r="A6" s="2" t="s">
        <v>817</v>
      </c>
      <c r="B6" s="2" t="s">
        <v>818</v>
      </c>
      <c r="E6" s="56" t="s">
        <v>886</v>
      </c>
      <c r="F6" t="s">
        <v>886</v>
      </c>
      <c r="H6" s="2" t="s">
        <v>510</v>
      </c>
      <c r="I6" s="2" t="s">
        <v>511</v>
      </c>
      <c r="K6" s="4" t="s">
        <v>67</v>
      </c>
      <c r="L6" s="1" t="s">
        <v>358</v>
      </c>
    </row>
    <row r="7" spans="1:12" ht="15.75">
      <c r="A7" s="2" t="s">
        <v>534</v>
      </c>
      <c r="B7" s="2" t="s">
        <v>535</v>
      </c>
      <c r="E7" s="56" t="s">
        <v>577</v>
      </c>
      <c r="F7" t="s">
        <v>577</v>
      </c>
      <c r="H7" s="2" t="s">
        <v>425</v>
      </c>
      <c r="I7" s="2" t="s">
        <v>448</v>
      </c>
      <c r="K7" s="4" t="s">
        <v>68</v>
      </c>
      <c r="L7" s="1" t="s">
        <v>359</v>
      </c>
    </row>
    <row r="8" spans="1:12" ht="15.75">
      <c r="A8" s="2" t="s">
        <v>819</v>
      </c>
      <c r="B8" s="2" t="s">
        <v>820</v>
      </c>
      <c r="E8" s="56" t="s">
        <v>887</v>
      </c>
      <c r="F8" t="s">
        <v>887</v>
      </c>
      <c r="H8" s="2" t="s">
        <v>500</v>
      </c>
      <c r="I8" s="2" t="s">
        <v>501</v>
      </c>
      <c r="K8" s="4" t="s">
        <v>69</v>
      </c>
      <c r="L8" s="1" t="s">
        <v>360</v>
      </c>
    </row>
    <row r="9" spans="1:12" ht="15.75">
      <c r="A9" s="2" t="s">
        <v>821</v>
      </c>
      <c r="B9" s="2" t="s">
        <v>822</v>
      </c>
      <c r="E9" s="56" t="s">
        <v>888</v>
      </c>
      <c r="F9" t="s">
        <v>888</v>
      </c>
      <c r="H9" s="2" t="s">
        <v>498</v>
      </c>
      <c r="I9" s="2" t="s">
        <v>499</v>
      </c>
      <c r="K9" s="4" t="s">
        <v>70</v>
      </c>
      <c r="L9" s="1" t="s">
        <v>361</v>
      </c>
    </row>
    <row r="10" spans="1:12" ht="15.75">
      <c r="A10" s="2" t="s">
        <v>32</v>
      </c>
      <c r="B10" s="2" t="s">
        <v>823</v>
      </c>
      <c r="E10" s="56" t="s">
        <v>337</v>
      </c>
      <c r="F10" t="s">
        <v>338</v>
      </c>
      <c r="H10" s="2" t="s">
        <v>496</v>
      </c>
      <c r="I10" s="2" t="s">
        <v>497</v>
      </c>
      <c r="K10" s="4" t="s">
        <v>71</v>
      </c>
      <c r="L10" s="1" t="s">
        <v>362</v>
      </c>
    </row>
    <row r="11" spans="1:12" ht="15.75">
      <c r="A11" s="2" t="s">
        <v>33</v>
      </c>
      <c r="B11" s="2" t="s">
        <v>824</v>
      </c>
      <c r="E11" s="56" t="s">
        <v>732</v>
      </c>
      <c r="F11" t="s">
        <v>578</v>
      </c>
      <c r="H11" s="2" t="s">
        <v>439</v>
      </c>
      <c r="I11" s="2" t="s">
        <v>461</v>
      </c>
      <c r="K11" s="4" t="s">
        <v>72</v>
      </c>
      <c r="L11" s="1" t="s">
        <v>363</v>
      </c>
    </row>
    <row r="12" spans="1:12" ht="15.75">
      <c r="A12" s="2" t="s">
        <v>31</v>
      </c>
      <c r="B12" s="2" t="s">
        <v>825</v>
      </c>
      <c r="E12" s="56" t="s">
        <v>733</v>
      </c>
      <c r="F12" t="s">
        <v>579</v>
      </c>
      <c r="H12" s="2" t="s">
        <v>488</v>
      </c>
      <c r="I12" s="2" t="s">
        <v>489</v>
      </c>
      <c r="K12" s="4" t="s">
        <v>73</v>
      </c>
      <c r="L12" s="1" t="s">
        <v>364</v>
      </c>
    </row>
    <row r="13" spans="1:12" ht="15.75">
      <c r="A13" s="2" t="s">
        <v>22</v>
      </c>
      <c r="B13" s="2" t="s">
        <v>826</v>
      </c>
      <c r="E13" s="56" t="s">
        <v>889</v>
      </c>
      <c r="F13" t="s">
        <v>889</v>
      </c>
      <c r="H13" s="2" t="s">
        <v>421</v>
      </c>
      <c r="I13" s="2" t="s">
        <v>443</v>
      </c>
      <c r="K13" s="4" t="s">
        <v>74</v>
      </c>
      <c r="L13" s="1" t="s">
        <v>365</v>
      </c>
    </row>
    <row r="14" spans="1:12" ht="15.75">
      <c r="A14" s="2" t="s">
        <v>21</v>
      </c>
      <c r="B14" s="2" t="s">
        <v>827</v>
      </c>
      <c r="E14" s="56" t="s">
        <v>890</v>
      </c>
      <c r="F14" t="s">
        <v>891</v>
      </c>
      <c r="H14" s="2" t="s">
        <v>432</v>
      </c>
      <c r="I14" s="2" t="s">
        <v>455</v>
      </c>
      <c r="K14" s="4" t="s">
        <v>75</v>
      </c>
      <c r="L14" s="1" t="s">
        <v>366</v>
      </c>
    </row>
    <row r="15" spans="1:12" ht="15.75">
      <c r="A15" s="2" t="s">
        <v>20</v>
      </c>
      <c r="B15" s="2" t="s">
        <v>828</v>
      </c>
      <c r="E15" s="56" t="s">
        <v>892</v>
      </c>
      <c r="F15" t="s">
        <v>892</v>
      </c>
      <c r="H15" s="2" t="s">
        <v>512</v>
      </c>
      <c r="I15" s="2" t="s">
        <v>513</v>
      </c>
      <c r="K15" s="4" t="s">
        <v>76</v>
      </c>
      <c r="L15" s="1" t="s">
        <v>367</v>
      </c>
    </row>
    <row r="16" spans="1:12" ht="15.75">
      <c r="A16" s="2" t="s">
        <v>829</v>
      </c>
      <c r="B16" s="2" t="s">
        <v>830</v>
      </c>
      <c r="E16" s="56" t="s">
        <v>893</v>
      </c>
      <c r="F16" t="s">
        <v>893</v>
      </c>
      <c r="H16" s="2" t="s">
        <v>514</v>
      </c>
      <c r="I16" s="2" t="s">
        <v>515</v>
      </c>
      <c r="K16" s="4" t="s">
        <v>77</v>
      </c>
      <c r="L16" s="1" t="s">
        <v>368</v>
      </c>
    </row>
    <row r="17" spans="1:12" ht="15.75">
      <c r="A17" s="2" t="s">
        <v>60</v>
      </c>
      <c r="B17" s="2" t="s">
        <v>831</v>
      </c>
      <c r="E17" s="56" t="s">
        <v>734</v>
      </c>
      <c r="F17" t="s">
        <v>580</v>
      </c>
      <c r="H17" s="2" t="s">
        <v>428</v>
      </c>
      <c r="I17" s="2" t="s">
        <v>450</v>
      </c>
      <c r="K17" s="4" t="s">
        <v>78</v>
      </c>
      <c r="L17" s="1" t="s">
        <v>369</v>
      </c>
    </row>
    <row r="18" spans="1:12" ht="15.75">
      <c r="A18" s="2" t="s">
        <v>61</v>
      </c>
      <c r="B18" s="2" t="s">
        <v>832</v>
      </c>
      <c r="E18" s="56" t="s">
        <v>581</v>
      </c>
      <c r="F18" t="s">
        <v>581</v>
      </c>
      <c r="H18" s="2" t="s">
        <v>430</v>
      </c>
      <c r="I18" s="2" t="s">
        <v>452</v>
      </c>
      <c r="K18" s="4" t="s">
        <v>79</v>
      </c>
      <c r="L18" s="1" t="s">
        <v>370</v>
      </c>
    </row>
    <row r="19" spans="1:12" ht="20.25" customHeight="1">
      <c r="A19" s="2" t="s">
        <v>62</v>
      </c>
      <c r="B19" s="2" t="s">
        <v>833</v>
      </c>
      <c r="E19" s="56" t="s">
        <v>894</v>
      </c>
      <c r="F19" t="s">
        <v>894</v>
      </c>
      <c r="H19" s="2" t="s">
        <v>422</v>
      </c>
      <c r="I19" s="2" t="s">
        <v>442</v>
      </c>
      <c r="K19" s="4" t="s">
        <v>80</v>
      </c>
      <c r="L19" s="1" t="s">
        <v>371</v>
      </c>
    </row>
    <row r="20" spans="1:12" ht="15.75">
      <c r="A20" s="2" t="s">
        <v>34</v>
      </c>
      <c r="B20" s="2" t="s">
        <v>834</v>
      </c>
      <c r="E20" s="56" t="s">
        <v>895</v>
      </c>
      <c r="F20" t="s">
        <v>895</v>
      </c>
      <c r="H20" s="2" t="s">
        <v>429</v>
      </c>
      <c r="I20" s="2" t="s">
        <v>451</v>
      </c>
      <c r="K20" s="4" t="s">
        <v>81</v>
      </c>
      <c r="L20" s="1" t="s">
        <v>372</v>
      </c>
    </row>
    <row r="21" spans="1:12" ht="15.75">
      <c r="A21" s="2" t="s">
        <v>35</v>
      </c>
      <c r="B21" s="2" t="s">
        <v>835</v>
      </c>
      <c r="E21" s="56" t="s">
        <v>896</v>
      </c>
      <c r="F21" t="s">
        <v>896</v>
      </c>
      <c r="H21" s="2" t="s">
        <v>438</v>
      </c>
      <c r="I21" s="2" t="s">
        <v>460</v>
      </c>
      <c r="K21" s="4" t="s">
        <v>82</v>
      </c>
      <c r="L21" s="1" t="s">
        <v>373</v>
      </c>
    </row>
    <row r="22" spans="1:12" ht="15.75">
      <c r="A22" s="2" t="s">
        <v>36</v>
      </c>
      <c r="B22" s="2" t="s">
        <v>836</v>
      </c>
      <c r="E22" s="56" t="s">
        <v>897</v>
      </c>
      <c r="F22" t="s">
        <v>897</v>
      </c>
      <c r="H22" s="2" t="s">
        <v>521</v>
      </c>
      <c r="I22" s="2" t="s">
        <v>522</v>
      </c>
      <c r="K22" s="4" t="s">
        <v>83</v>
      </c>
      <c r="L22" s="1" t="s">
        <v>374</v>
      </c>
    </row>
    <row r="23" spans="1:12" ht="15.75">
      <c r="A23" s="2" t="s">
        <v>37</v>
      </c>
      <c r="B23" s="2" t="s">
        <v>837</v>
      </c>
      <c r="E23" s="56" t="s">
        <v>898</v>
      </c>
      <c r="F23" t="s">
        <v>898</v>
      </c>
      <c r="H23" s="2" t="s">
        <v>516</v>
      </c>
      <c r="I23" s="2" t="s">
        <v>517</v>
      </c>
      <c r="K23" s="4" t="s">
        <v>84</v>
      </c>
      <c r="L23" s="1" t="s">
        <v>375</v>
      </c>
    </row>
    <row r="24" spans="1:12" ht="15.75">
      <c r="A24" s="2" t="s">
        <v>465</v>
      </c>
      <c r="B24" s="2" t="s">
        <v>838</v>
      </c>
      <c r="E24" s="56" t="s">
        <v>899</v>
      </c>
      <c r="F24" t="s">
        <v>899</v>
      </c>
      <c r="H24" s="2" t="s">
        <v>490</v>
      </c>
      <c r="I24" s="2" t="s">
        <v>491</v>
      </c>
      <c r="K24" s="4" t="s">
        <v>85</v>
      </c>
      <c r="L24" s="1" t="s">
        <v>376</v>
      </c>
    </row>
    <row r="25" spans="1:12" ht="24.75" customHeight="1">
      <c r="A25" s="2" t="s">
        <v>466</v>
      </c>
      <c r="B25" s="2" t="s">
        <v>839</v>
      </c>
      <c r="E25" s="56" t="s">
        <v>900</v>
      </c>
      <c r="F25" t="s">
        <v>900</v>
      </c>
      <c r="H25" s="2" t="s">
        <v>437</v>
      </c>
      <c r="I25" s="2" t="s">
        <v>459</v>
      </c>
      <c r="K25" s="4" t="s">
        <v>86</v>
      </c>
      <c r="L25" s="1" t="s">
        <v>377</v>
      </c>
    </row>
    <row r="26" spans="1:12" ht="15.75">
      <c r="A26" s="2" t="s">
        <v>43</v>
      </c>
      <c r="B26" s="2" t="s">
        <v>840</v>
      </c>
      <c r="E26" s="56" t="s">
        <v>310</v>
      </c>
      <c r="F26" t="s">
        <v>311</v>
      </c>
      <c r="H26" s="2" t="s">
        <v>1264</v>
      </c>
      <c r="I26" s="2" t="s">
        <v>1265</v>
      </c>
      <c r="K26" s="4" t="s">
        <v>87</v>
      </c>
      <c r="L26" s="1" t="s">
        <v>378</v>
      </c>
    </row>
    <row r="27" spans="1:12" ht="15.75">
      <c r="A27" s="2" t="s">
        <v>52</v>
      </c>
      <c r="B27" s="2" t="s">
        <v>841</v>
      </c>
      <c r="E27" s="56" t="s">
        <v>346</v>
      </c>
      <c r="F27" t="s">
        <v>347</v>
      </c>
      <c r="H27" s="2" t="s">
        <v>1266</v>
      </c>
      <c r="I27" s="2" t="s">
        <v>1267</v>
      </c>
      <c r="K27" s="4" t="s">
        <v>88</v>
      </c>
      <c r="L27" s="1" t="s">
        <v>379</v>
      </c>
    </row>
    <row r="28" spans="1:12" ht="24" customHeight="1">
      <c r="A28" s="2" t="s">
        <v>467</v>
      </c>
      <c r="B28" s="2" t="s">
        <v>842</v>
      </c>
      <c r="E28" s="56" t="s">
        <v>582</v>
      </c>
      <c r="F28" t="s">
        <v>582</v>
      </c>
      <c r="H28" s="2" t="s">
        <v>424</v>
      </c>
      <c r="I28" s="2" t="s">
        <v>446</v>
      </c>
      <c r="K28" s="4" t="s">
        <v>89</v>
      </c>
      <c r="L28" s="1" t="s">
        <v>380</v>
      </c>
    </row>
    <row r="29" spans="1:12" ht="15.75">
      <c r="A29" s="2" t="s">
        <v>53</v>
      </c>
      <c r="B29" s="2" t="s">
        <v>843</v>
      </c>
      <c r="E29" s="56" t="s">
        <v>901</v>
      </c>
      <c r="F29" t="s">
        <v>901</v>
      </c>
      <c r="H29" s="2" t="s">
        <v>423</v>
      </c>
      <c r="I29" s="2" t="s">
        <v>445</v>
      </c>
      <c r="K29" s="4" t="s">
        <v>90</v>
      </c>
      <c r="L29" s="1" t="s">
        <v>381</v>
      </c>
    </row>
    <row r="30" spans="1:12" ht="15.75">
      <c r="A30" s="2" t="s">
        <v>54</v>
      </c>
      <c r="B30" s="2" t="s">
        <v>844</v>
      </c>
      <c r="E30" s="56" t="s">
        <v>341</v>
      </c>
      <c r="F30" t="s">
        <v>342</v>
      </c>
      <c r="H30" s="2" t="s">
        <v>1268</v>
      </c>
      <c r="I30" s="2" t="s">
        <v>1269</v>
      </c>
      <c r="K30" s="4" t="s">
        <v>91</v>
      </c>
      <c r="L30" s="1" t="s">
        <v>382</v>
      </c>
    </row>
    <row r="31" spans="1:12" ht="15.75">
      <c r="A31" s="2" t="s">
        <v>55</v>
      </c>
      <c r="B31" s="2" t="s">
        <v>845</v>
      </c>
      <c r="E31" s="56" t="s">
        <v>902</v>
      </c>
      <c r="F31" t="s">
        <v>902</v>
      </c>
      <c r="H31" s="2" t="s">
        <v>518</v>
      </c>
      <c r="I31" s="2" t="s">
        <v>519</v>
      </c>
      <c r="K31" s="4" t="s">
        <v>92</v>
      </c>
      <c r="L31" s="1" t="s">
        <v>383</v>
      </c>
    </row>
    <row r="32" spans="1:12" ht="15.75">
      <c r="A32" s="2" t="s">
        <v>56</v>
      </c>
      <c r="B32" s="2" t="s">
        <v>846</v>
      </c>
      <c r="E32" s="56" t="s">
        <v>903</v>
      </c>
      <c r="F32" t="s">
        <v>903</v>
      </c>
      <c r="H32" s="2" t="s">
        <v>507</v>
      </c>
      <c r="I32" s="2" t="s">
        <v>506</v>
      </c>
      <c r="K32" s="4" t="s">
        <v>93</v>
      </c>
      <c r="L32" s="1" t="s">
        <v>384</v>
      </c>
    </row>
    <row r="33" spans="1:12" ht="20.25" customHeight="1">
      <c r="A33" s="2" t="s">
        <v>57</v>
      </c>
      <c r="B33" s="2" t="s">
        <v>847</v>
      </c>
      <c r="E33" s="56" t="s">
        <v>735</v>
      </c>
      <c r="F33" t="s">
        <v>584</v>
      </c>
      <c r="H33" s="2" t="s">
        <v>508</v>
      </c>
      <c r="I33" s="2" t="s">
        <v>509</v>
      </c>
      <c r="K33" s="4" t="s">
        <v>94</v>
      </c>
      <c r="L33" s="1" t="s">
        <v>385</v>
      </c>
    </row>
    <row r="34" spans="1:12" ht="20.25" customHeight="1">
      <c r="A34" s="2" t="s">
        <v>58</v>
      </c>
      <c r="B34" s="2" t="s">
        <v>848</v>
      </c>
      <c r="E34" s="56" t="s">
        <v>736</v>
      </c>
      <c r="F34" t="s">
        <v>585</v>
      </c>
      <c r="H34" s="2" t="s">
        <v>427</v>
      </c>
      <c r="I34" s="2" t="s">
        <v>449</v>
      </c>
      <c r="K34" s="4" t="s">
        <v>95</v>
      </c>
      <c r="L34" s="1" t="s">
        <v>386</v>
      </c>
    </row>
    <row r="35" spans="1:12" ht="15.75">
      <c r="A35" s="2" t="s">
        <v>849</v>
      </c>
      <c r="B35" s="2" t="s">
        <v>850</v>
      </c>
      <c r="E35" s="56" t="s">
        <v>904</v>
      </c>
      <c r="F35" t="s">
        <v>904</v>
      </c>
      <c r="H35" s="2" t="s">
        <v>431</v>
      </c>
      <c r="I35" s="2" t="s">
        <v>453</v>
      </c>
      <c r="K35" s="4" t="s">
        <v>96</v>
      </c>
      <c r="L35" s="1" t="s">
        <v>387</v>
      </c>
    </row>
    <row r="36" spans="1:12" ht="22.5" customHeight="1">
      <c r="A36" s="2" t="s">
        <v>851</v>
      </c>
      <c r="B36" s="2" t="s">
        <v>852</v>
      </c>
      <c r="E36" s="56" t="s">
        <v>905</v>
      </c>
      <c r="F36" t="s">
        <v>905</v>
      </c>
      <c r="H36" s="2" t="s">
        <v>433</v>
      </c>
      <c r="I36" s="2" t="s">
        <v>456</v>
      </c>
      <c r="K36" s="4" t="s">
        <v>97</v>
      </c>
      <c r="L36" s="1" t="s">
        <v>388</v>
      </c>
    </row>
    <row r="37" spans="1:12" ht="15.75">
      <c r="A37" s="2" t="s">
        <v>44</v>
      </c>
      <c r="B37" s="2" t="s">
        <v>853</v>
      </c>
      <c r="E37" s="56" t="s">
        <v>737</v>
      </c>
      <c r="F37" t="s">
        <v>586</v>
      </c>
      <c r="H37" s="2" t="s">
        <v>479</v>
      </c>
      <c r="I37" s="2" t="s">
        <v>478</v>
      </c>
      <c r="K37" s="4" t="s">
        <v>98</v>
      </c>
      <c r="L37" s="1" t="s">
        <v>389</v>
      </c>
    </row>
    <row r="38" spans="1:12" ht="15.75">
      <c r="A38" s="2" t="s">
        <v>854</v>
      </c>
      <c r="B38" s="2" t="s">
        <v>855</v>
      </c>
      <c r="E38" s="56" t="s">
        <v>476</v>
      </c>
      <c r="F38" t="s">
        <v>321</v>
      </c>
      <c r="H38" s="2" t="s">
        <v>484</v>
      </c>
      <c r="I38" s="2" t="s">
        <v>485</v>
      </c>
      <c r="K38" s="4" t="s">
        <v>99</v>
      </c>
      <c r="L38" s="1" t="s">
        <v>390</v>
      </c>
    </row>
    <row r="39" spans="1:12" ht="22.5" customHeight="1">
      <c r="A39" s="2" t="s">
        <v>856</v>
      </c>
      <c r="B39" s="2" t="s">
        <v>857</v>
      </c>
      <c r="E39" s="56" t="s">
        <v>738</v>
      </c>
      <c r="F39" t="s">
        <v>587</v>
      </c>
      <c r="H39" s="2" t="s">
        <v>483</v>
      </c>
      <c r="I39" s="2" t="s">
        <v>482</v>
      </c>
      <c r="K39" s="4" t="s">
        <v>100</v>
      </c>
      <c r="L39" s="1" t="s">
        <v>391</v>
      </c>
    </row>
    <row r="40" spans="1:12" ht="15.75">
      <c r="A40" s="2" t="s">
        <v>59</v>
      </c>
      <c r="B40" s="2" t="s">
        <v>858</v>
      </c>
      <c r="E40" s="56" t="s">
        <v>739</v>
      </c>
      <c r="F40" t="s">
        <v>588</v>
      </c>
      <c r="H40" s="2" t="s">
        <v>480</v>
      </c>
      <c r="I40" s="2" t="s">
        <v>481</v>
      </c>
      <c r="K40" s="4" t="s">
        <v>101</v>
      </c>
      <c r="L40" s="1" t="s">
        <v>392</v>
      </c>
    </row>
    <row r="41" spans="1:12" ht="15.75">
      <c r="A41" s="2" t="s">
        <v>45</v>
      </c>
      <c r="B41" s="2" t="s">
        <v>859</v>
      </c>
      <c r="E41" s="56" t="s">
        <v>350</v>
      </c>
      <c r="F41" t="s">
        <v>351</v>
      </c>
      <c r="H41" s="1" t="s">
        <v>1270</v>
      </c>
      <c r="I41" s="2" t="s">
        <v>1271</v>
      </c>
      <c r="K41" s="4" t="s">
        <v>102</v>
      </c>
      <c r="L41" s="1" t="s">
        <v>393</v>
      </c>
    </row>
    <row r="42" spans="1:12" ht="15.75">
      <c r="A42" s="2" t="s">
        <v>46</v>
      </c>
      <c r="B42" s="2" t="s">
        <v>860</v>
      </c>
      <c r="E42" s="56" t="s">
        <v>589</v>
      </c>
      <c r="F42" t="s">
        <v>589</v>
      </c>
      <c r="H42" s="2" t="s">
        <v>420</v>
      </c>
      <c r="I42" s="2" t="s">
        <v>444</v>
      </c>
      <c r="K42" s="4" t="s">
        <v>103</v>
      </c>
      <c r="L42" s="1" t="s">
        <v>394</v>
      </c>
    </row>
    <row r="43" spans="1:12" ht="22.5" customHeight="1">
      <c r="A43" s="2" t="s">
        <v>47</v>
      </c>
      <c r="B43" s="2" t="s">
        <v>861</v>
      </c>
      <c r="E43" s="56" t="s">
        <v>590</v>
      </c>
      <c r="F43" t="s">
        <v>590</v>
      </c>
      <c r="H43" s="2" t="s">
        <v>502</v>
      </c>
      <c r="I43" s="2" t="s">
        <v>503</v>
      </c>
      <c r="K43" s="4" t="s">
        <v>104</v>
      </c>
      <c r="L43" s="1" t="s">
        <v>395</v>
      </c>
    </row>
    <row r="44" spans="1:12" ht="15.75">
      <c r="A44" s="2" t="s">
        <v>48</v>
      </c>
      <c r="B44" s="2" t="s">
        <v>862</v>
      </c>
      <c r="E44" s="56" t="s">
        <v>591</v>
      </c>
      <c r="F44" t="s">
        <v>591</v>
      </c>
      <c r="H44" s="1" t="s">
        <v>504</v>
      </c>
      <c r="I44" s="2" t="s">
        <v>505</v>
      </c>
      <c r="K44" s="4" t="s">
        <v>105</v>
      </c>
      <c r="L44" s="1" t="s">
        <v>396</v>
      </c>
    </row>
    <row r="45" spans="1:12" ht="22.5" customHeight="1">
      <c r="A45" s="2" t="s">
        <v>49</v>
      </c>
      <c r="B45" s="2" t="s">
        <v>863</v>
      </c>
      <c r="E45" s="56" t="s">
        <v>592</v>
      </c>
      <c r="F45" t="s">
        <v>592</v>
      </c>
      <c r="H45" s="2" t="s">
        <v>426</v>
      </c>
      <c r="I45" s="2" t="s">
        <v>447</v>
      </c>
      <c r="K45" s="4" t="s">
        <v>106</v>
      </c>
      <c r="L45" s="1" t="s">
        <v>397</v>
      </c>
    </row>
    <row r="46" spans="1:12" ht="15.75">
      <c r="A46" s="2" t="s">
        <v>50</v>
      </c>
      <c r="B46" s="2" t="s">
        <v>864</v>
      </c>
      <c r="E46" s="56" t="s">
        <v>906</v>
      </c>
      <c r="F46" t="s">
        <v>906</v>
      </c>
      <c r="H46" s="2" t="s">
        <v>434</v>
      </c>
      <c r="I46" s="2" t="s">
        <v>457</v>
      </c>
      <c r="K46" s="4" t="s">
        <v>107</v>
      </c>
      <c r="L46" s="1" t="s">
        <v>398</v>
      </c>
    </row>
    <row r="47" spans="1:12" ht="15.75">
      <c r="A47" s="2" t="s">
        <v>51</v>
      </c>
      <c r="B47" s="2" t="s">
        <v>865</v>
      </c>
      <c r="E47" s="56" t="s">
        <v>907</v>
      </c>
      <c r="F47" t="s">
        <v>907</v>
      </c>
      <c r="H47" s="2" t="s">
        <v>1272</v>
      </c>
      <c r="I47" s="2" t="s">
        <v>454</v>
      </c>
      <c r="K47" s="4" t="s">
        <v>108</v>
      </c>
      <c r="L47" s="1" t="s">
        <v>399</v>
      </c>
    </row>
    <row r="48" spans="1:12" ht="15.75">
      <c r="A48" s="1" t="s">
        <v>23</v>
      </c>
      <c r="B48" s="2" t="s">
        <v>866</v>
      </c>
      <c r="E48" s="56" t="s">
        <v>908</v>
      </c>
      <c r="F48" t="s">
        <v>908</v>
      </c>
      <c r="H48" s="2" t="s">
        <v>1273</v>
      </c>
      <c r="I48" s="2" t="s">
        <v>454</v>
      </c>
      <c r="K48" s="4" t="s">
        <v>109</v>
      </c>
      <c r="L48" s="1" t="s">
        <v>400</v>
      </c>
    </row>
    <row r="49" spans="1:12" ht="15.75">
      <c r="A49" s="2" t="s">
        <v>24</v>
      </c>
      <c r="B49" s="2" t="s">
        <v>867</v>
      </c>
      <c r="E49" s="56" t="s">
        <v>740</v>
      </c>
      <c r="F49" t="s">
        <v>593</v>
      </c>
      <c r="H49" s="2" t="s">
        <v>435</v>
      </c>
      <c r="I49" s="2" t="s">
        <v>458</v>
      </c>
      <c r="K49" s="4" t="s">
        <v>110</v>
      </c>
      <c r="L49" s="1" t="s">
        <v>401</v>
      </c>
    </row>
    <row r="50" spans="1:12" ht="15.75">
      <c r="A50" s="2" t="s">
        <v>25</v>
      </c>
      <c r="B50" s="2" t="s">
        <v>868</v>
      </c>
      <c r="E50" s="56" t="s">
        <v>594</v>
      </c>
      <c r="F50" t="s">
        <v>594</v>
      </c>
      <c r="H50" s="2" t="s">
        <v>523</v>
      </c>
      <c r="I50" s="2" t="s">
        <v>524</v>
      </c>
      <c r="K50" s="4" t="s">
        <v>111</v>
      </c>
      <c r="L50" s="1" t="s">
        <v>402</v>
      </c>
    </row>
    <row r="51" spans="1:12" ht="15.75">
      <c r="A51" s="2" t="s">
        <v>26</v>
      </c>
      <c r="B51" s="2" t="s">
        <v>869</v>
      </c>
      <c r="E51" s="56" t="s">
        <v>595</v>
      </c>
      <c r="F51" t="s">
        <v>595</v>
      </c>
      <c r="H51" s="2" t="s">
        <v>1274</v>
      </c>
      <c r="I51" s="2" t="s">
        <v>454</v>
      </c>
      <c r="K51" s="4" t="s">
        <v>112</v>
      </c>
      <c r="L51" s="1" t="s">
        <v>403</v>
      </c>
    </row>
    <row r="52" spans="1:12" ht="15.75">
      <c r="A52" s="2" t="s">
        <v>27</v>
      </c>
      <c r="B52" s="2" t="s">
        <v>870</v>
      </c>
      <c r="E52" s="56" t="s">
        <v>596</v>
      </c>
      <c r="F52" t="s">
        <v>596</v>
      </c>
      <c r="H52" s="2" t="s">
        <v>1275</v>
      </c>
      <c r="I52" s="2" t="s">
        <v>454</v>
      </c>
      <c r="K52" s="4" t="s">
        <v>113</v>
      </c>
      <c r="L52" s="1" t="s">
        <v>404</v>
      </c>
    </row>
    <row r="53" spans="1:12" ht="22.5" customHeight="1">
      <c r="A53" s="2" t="s">
        <v>28</v>
      </c>
      <c r="B53" s="2" t="s">
        <v>871</v>
      </c>
      <c r="E53" s="56" t="s">
        <v>909</v>
      </c>
      <c r="F53" t="s">
        <v>909</v>
      </c>
      <c r="H53" s="2" t="s">
        <v>441</v>
      </c>
      <c r="I53" s="2" t="s">
        <v>464</v>
      </c>
      <c r="K53" s="4" t="s">
        <v>114</v>
      </c>
      <c r="L53" s="1" t="s">
        <v>405</v>
      </c>
    </row>
    <row r="54" spans="1:12" ht="22.5" customHeight="1">
      <c r="A54" s="2" t="s">
        <v>29</v>
      </c>
      <c r="B54" s="2" t="s">
        <v>872</v>
      </c>
      <c r="E54" s="56" t="s">
        <v>910</v>
      </c>
      <c r="F54" t="s">
        <v>910</v>
      </c>
      <c r="H54" s="2" t="s">
        <v>520</v>
      </c>
      <c r="I54" s="2" t="s">
        <v>454</v>
      </c>
      <c r="K54" s="4" t="s">
        <v>115</v>
      </c>
      <c r="L54" s="1" t="s">
        <v>406</v>
      </c>
    </row>
    <row r="55" spans="1:12" ht="22.5" customHeight="1">
      <c r="A55" s="2" t="s">
        <v>30</v>
      </c>
      <c r="B55" s="2" t="s">
        <v>873</v>
      </c>
      <c r="E55" s="56" t="s">
        <v>741</v>
      </c>
      <c r="F55" t="s">
        <v>597</v>
      </c>
      <c r="H55" s="2" t="s">
        <v>1276</v>
      </c>
      <c r="I55" s="2" t="s">
        <v>1277</v>
      </c>
      <c r="K55" s="4" t="s">
        <v>116</v>
      </c>
      <c r="L55" s="1" t="s">
        <v>407</v>
      </c>
    </row>
    <row r="56" spans="1:12" ht="22.5" customHeight="1">
      <c r="A56" s="2" t="s">
        <v>40</v>
      </c>
      <c r="B56" s="2" t="s">
        <v>874</v>
      </c>
      <c r="E56" s="56" t="s">
        <v>528</v>
      </c>
      <c r="F56" t="s">
        <v>529</v>
      </c>
      <c r="H56" s="2" t="s">
        <v>436</v>
      </c>
      <c r="I56" s="2" t="s">
        <v>1278</v>
      </c>
      <c r="K56" s="4" t="s">
        <v>117</v>
      </c>
      <c r="L56" s="1" t="s">
        <v>408</v>
      </c>
    </row>
    <row r="57" spans="1:12" ht="22.5" customHeight="1">
      <c r="A57" s="2" t="s">
        <v>41</v>
      </c>
      <c r="B57" s="2" t="s">
        <v>875</v>
      </c>
      <c r="E57" s="56" t="s">
        <v>742</v>
      </c>
      <c r="F57" t="s">
        <v>598</v>
      </c>
      <c r="H57" s="2" t="s">
        <v>493</v>
      </c>
      <c r="I57" s="2" t="s">
        <v>492</v>
      </c>
      <c r="K57" s="4" t="s">
        <v>118</v>
      </c>
      <c r="L57" s="1" t="s">
        <v>409</v>
      </c>
    </row>
    <row r="58" spans="1:12" ht="22.5" customHeight="1">
      <c r="A58" s="2" t="s">
        <v>42</v>
      </c>
      <c r="B58" s="2" t="s">
        <v>876</v>
      </c>
      <c r="E58" s="56" t="s">
        <v>599</v>
      </c>
      <c r="F58" t="s">
        <v>599</v>
      </c>
      <c r="K58" s="4" t="s">
        <v>119</v>
      </c>
      <c r="L58" s="1" t="s">
        <v>410</v>
      </c>
    </row>
    <row r="59" spans="1:12" ht="22.5" customHeight="1">
      <c r="A59" s="2" t="s">
        <v>877</v>
      </c>
      <c r="B59" s="2" t="s">
        <v>878</v>
      </c>
      <c r="E59" s="56" t="s">
        <v>911</v>
      </c>
      <c r="F59" t="s">
        <v>911</v>
      </c>
      <c r="K59" s="4" t="s">
        <v>120</v>
      </c>
      <c r="L59" s="1" t="s">
        <v>411</v>
      </c>
    </row>
    <row r="60" spans="1:12" ht="22.5" customHeight="1">
      <c r="A60" s="2" t="s">
        <v>38</v>
      </c>
      <c r="B60" s="2" t="s">
        <v>879</v>
      </c>
      <c r="E60" s="56" t="s">
        <v>912</v>
      </c>
      <c r="F60" t="s">
        <v>912</v>
      </c>
      <c r="K60" s="4" t="s">
        <v>121</v>
      </c>
      <c r="L60" s="1" t="s">
        <v>412</v>
      </c>
    </row>
    <row r="61" spans="1:12" ht="22.5" customHeight="1">
      <c r="A61" s="2" t="s">
        <v>39</v>
      </c>
      <c r="B61" s="1" t="s">
        <v>880</v>
      </c>
      <c r="E61" s="56" t="s">
        <v>913</v>
      </c>
      <c r="F61" t="s">
        <v>913</v>
      </c>
      <c r="K61" s="4" t="s">
        <v>122</v>
      </c>
      <c r="L61" s="1" t="s">
        <v>413</v>
      </c>
    </row>
    <row r="62" spans="1:12" ht="22.5" customHeight="1">
      <c r="A62" s="2" t="s">
        <v>881</v>
      </c>
      <c r="B62" s="2" t="s">
        <v>882</v>
      </c>
      <c r="E62" s="56" t="s">
        <v>328</v>
      </c>
      <c r="F62" t="s">
        <v>329</v>
      </c>
      <c r="K62" s="4" t="s">
        <v>123</v>
      </c>
      <c r="L62" s="1" t="s">
        <v>414</v>
      </c>
    </row>
    <row r="63" spans="1:12" ht="22.5" customHeight="1">
      <c r="A63" s="2" t="s">
        <v>883</v>
      </c>
      <c r="B63" s="2" t="s">
        <v>884</v>
      </c>
      <c r="E63" s="56" t="s">
        <v>600</v>
      </c>
      <c r="F63" t="s">
        <v>600</v>
      </c>
      <c r="K63" s="4" t="s">
        <v>124</v>
      </c>
      <c r="L63" s="1" t="s">
        <v>415</v>
      </c>
    </row>
    <row r="64" spans="1:12" ht="22.5" customHeight="1">
      <c r="E64" s="56" t="s">
        <v>743</v>
      </c>
      <c r="F64" t="s">
        <v>601</v>
      </c>
      <c r="K64" s="4" t="s">
        <v>125</v>
      </c>
      <c r="L64" s="1" t="s">
        <v>416</v>
      </c>
    </row>
    <row r="65" spans="5:12" ht="22.5" customHeight="1">
      <c r="E65" s="56" t="s">
        <v>914</v>
      </c>
      <c r="F65" t="s">
        <v>914</v>
      </c>
      <c r="K65" s="4" t="s">
        <v>126</v>
      </c>
      <c r="L65" s="4"/>
    </row>
    <row r="66" spans="5:12" ht="22.5" customHeight="1">
      <c r="E66" s="56" t="s">
        <v>915</v>
      </c>
      <c r="F66" t="s">
        <v>915</v>
      </c>
      <c r="K66" s="4" t="s">
        <v>127</v>
      </c>
      <c r="L66" s="4"/>
    </row>
    <row r="67" spans="5:12" ht="22.5" customHeight="1">
      <c r="E67" s="56" t="s">
        <v>916</v>
      </c>
      <c r="F67" t="s">
        <v>916</v>
      </c>
      <c r="K67" s="4" t="s">
        <v>128</v>
      </c>
      <c r="L67" s="4"/>
    </row>
    <row r="68" spans="5:12" ht="22.5" customHeight="1">
      <c r="E68" s="56" t="s">
        <v>917</v>
      </c>
      <c r="F68" t="s">
        <v>917</v>
      </c>
      <c r="K68" s="4" t="s">
        <v>129</v>
      </c>
      <c r="L68" s="4"/>
    </row>
    <row r="69" spans="5:12" ht="22.5" customHeight="1">
      <c r="E69" s="56" t="s">
        <v>918</v>
      </c>
      <c r="F69" t="s">
        <v>918</v>
      </c>
      <c r="K69" s="4" t="s">
        <v>130</v>
      </c>
      <c r="L69" s="4"/>
    </row>
    <row r="70" spans="5:12" ht="22.5" customHeight="1">
      <c r="E70" s="56" t="s">
        <v>919</v>
      </c>
      <c r="F70" t="s">
        <v>919</v>
      </c>
      <c r="K70" s="4" t="s">
        <v>131</v>
      </c>
      <c r="L70" s="4"/>
    </row>
    <row r="71" spans="5:12" ht="22.5" customHeight="1">
      <c r="E71" s="56" t="s">
        <v>602</v>
      </c>
      <c r="F71" t="s">
        <v>602</v>
      </c>
      <c r="K71" s="4" t="s">
        <v>132</v>
      </c>
      <c r="L71" s="4"/>
    </row>
    <row r="72" spans="5:12" ht="22.5" customHeight="1">
      <c r="E72" s="56" t="s">
        <v>920</v>
      </c>
      <c r="F72" t="s">
        <v>920</v>
      </c>
      <c r="K72" s="4" t="s">
        <v>133</v>
      </c>
      <c r="L72" s="4"/>
    </row>
    <row r="73" spans="5:12" ht="22.5" customHeight="1">
      <c r="E73" s="56" t="s">
        <v>603</v>
      </c>
      <c r="F73" t="s">
        <v>603</v>
      </c>
      <c r="K73" s="4" t="s">
        <v>134</v>
      </c>
      <c r="L73" s="4"/>
    </row>
    <row r="74" spans="5:12" ht="22.5" customHeight="1">
      <c r="E74" s="56" t="s">
        <v>744</v>
      </c>
      <c r="F74" t="s">
        <v>604</v>
      </c>
      <c r="K74" s="4" t="s">
        <v>135</v>
      </c>
      <c r="L74" s="4"/>
    </row>
    <row r="75" spans="5:12" ht="22.5" customHeight="1">
      <c r="E75" s="56" t="s">
        <v>605</v>
      </c>
      <c r="F75" t="s">
        <v>605</v>
      </c>
      <c r="K75" s="4" t="s">
        <v>136</v>
      </c>
      <c r="L75" s="4"/>
    </row>
    <row r="76" spans="5:12" ht="22.5" customHeight="1">
      <c r="E76" s="56" t="s">
        <v>921</v>
      </c>
      <c r="F76" t="s">
        <v>921</v>
      </c>
      <c r="K76" s="4" t="s">
        <v>137</v>
      </c>
      <c r="L76" s="4"/>
    </row>
    <row r="77" spans="5:12" ht="22.5" customHeight="1">
      <c r="E77" s="56" t="s">
        <v>922</v>
      </c>
      <c r="F77" t="s">
        <v>922</v>
      </c>
      <c r="K77" s="4" t="s">
        <v>138</v>
      </c>
      <c r="L77" s="4"/>
    </row>
    <row r="78" spans="5:12" ht="22.5" customHeight="1">
      <c r="E78" s="56" t="s">
        <v>923</v>
      </c>
      <c r="F78" t="s">
        <v>923</v>
      </c>
      <c r="K78" s="4" t="s">
        <v>139</v>
      </c>
      <c r="L78" s="4"/>
    </row>
    <row r="79" spans="5:12" ht="22.5" customHeight="1">
      <c r="E79" s="56" t="s">
        <v>745</v>
      </c>
      <c r="F79" t="s">
        <v>606</v>
      </c>
      <c r="K79" s="4" t="s">
        <v>140</v>
      </c>
      <c r="L79" s="4"/>
    </row>
    <row r="80" spans="5:12" ht="22.5" customHeight="1">
      <c r="E80" s="56" t="s">
        <v>530</v>
      </c>
      <c r="F80" t="s">
        <v>531</v>
      </c>
      <c r="K80" s="4" t="s">
        <v>141</v>
      </c>
      <c r="L80" s="4"/>
    </row>
    <row r="81" spans="5:12" ht="22.5" customHeight="1">
      <c r="E81" s="56" t="s">
        <v>924</v>
      </c>
      <c r="F81" t="s">
        <v>924</v>
      </c>
      <c r="K81" s="4" t="s">
        <v>142</v>
      </c>
      <c r="L81" s="4"/>
    </row>
    <row r="82" spans="5:12" ht="22.5" customHeight="1">
      <c r="E82" s="56" t="s">
        <v>746</v>
      </c>
      <c r="F82" t="s">
        <v>607</v>
      </c>
      <c r="K82" s="4" t="s">
        <v>143</v>
      </c>
      <c r="L82" s="4"/>
    </row>
    <row r="83" spans="5:12" ht="22.5" customHeight="1">
      <c r="E83" s="56" t="s">
        <v>925</v>
      </c>
      <c r="F83" t="s">
        <v>925</v>
      </c>
      <c r="K83" s="4" t="s">
        <v>144</v>
      </c>
      <c r="L83" s="4"/>
    </row>
    <row r="84" spans="5:12" ht="22.5" customHeight="1">
      <c r="E84" s="56" t="s">
        <v>926</v>
      </c>
      <c r="F84" t="s">
        <v>926</v>
      </c>
      <c r="K84" s="4" t="s">
        <v>145</v>
      </c>
      <c r="L84" s="4"/>
    </row>
    <row r="85" spans="5:12" ht="22.5" customHeight="1">
      <c r="E85" s="56" t="s">
        <v>927</v>
      </c>
      <c r="F85" t="s">
        <v>927</v>
      </c>
      <c r="K85" s="4" t="s">
        <v>146</v>
      </c>
      <c r="L85" s="4"/>
    </row>
    <row r="86" spans="5:12" ht="22.5" customHeight="1">
      <c r="E86" s="56" t="s">
        <v>608</v>
      </c>
      <c r="F86" t="s">
        <v>608</v>
      </c>
      <c r="K86" s="4" t="s">
        <v>147</v>
      </c>
      <c r="L86" s="4"/>
    </row>
    <row r="87" spans="5:12" ht="22.5" customHeight="1">
      <c r="E87" s="56" t="s">
        <v>609</v>
      </c>
      <c r="F87" t="s">
        <v>609</v>
      </c>
      <c r="K87" s="4" t="s">
        <v>148</v>
      </c>
      <c r="L87" s="4"/>
    </row>
    <row r="88" spans="5:12" ht="22.5" customHeight="1">
      <c r="E88" s="56" t="s">
        <v>747</v>
      </c>
      <c r="F88" t="s">
        <v>610</v>
      </c>
      <c r="K88" s="4" t="s">
        <v>149</v>
      </c>
      <c r="L88" s="4"/>
    </row>
    <row r="89" spans="5:12" ht="22.5" customHeight="1">
      <c r="E89" s="56" t="s">
        <v>928</v>
      </c>
      <c r="F89" t="s">
        <v>928</v>
      </c>
      <c r="K89" s="4" t="s">
        <v>150</v>
      </c>
      <c r="L89" s="4"/>
    </row>
    <row r="90" spans="5:12" ht="22.5" customHeight="1">
      <c r="E90" s="56" t="s">
        <v>929</v>
      </c>
      <c r="F90" t="s">
        <v>929</v>
      </c>
      <c r="K90" s="4" t="s">
        <v>151</v>
      </c>
      <c r="L90" s="4"/>
    </row>
    <row r="91" spans="5:12" ht="22.5" customHeight="1">
      <c r="E91" s="56" t="s">
        <v>930</v>
      </c>
      <c r="F91" t="s">
        <v>930</v>
      </c>
      <c r="K91" s="4" t="s">
        <v>152</v>
      </c>
      <c r="L91" s="4"/>
    </row>
    <row r="92" spans="5:12" ht="22.5" customHeight="1">
      <c r="E92" s="56" t="s">
        <v>324</v>
      </c>
      <c r="F92" t="s">
        <v>325</v>
      </c>
      <c r="K92" s="4" t="s">
        <v>153</v>
      </c>
      <c r="L92" s="4"/>
    </row>
    <row r="93" spans="5:12" ht="22.5" customHeight="1">
      <c r="E93" s="56" t="s">
        <v>748</v>
      </c>
      <c r="F93" t="s">
        <v>611</v>
      </c>
      <c r="K93" s="4" t="s">
        <v>154</v>
      </c>
      <c r="L93" s="4"/>
    </row>
    <row r="94" spans="5:12" ht="22.5" customHeight="1">
      <c r="E94" s="56" t="s">
        <v>931</v>
      </c>
      <c r="F94" t="s">
        <v>931</v>
      </c>
      <c r="K94" s="4" t="s">
        <v>155</v>
      </c>
      <c r="L94" s="4"/>
    </row>
    <row r="95" spans="5:12" ht="22.5" customHeight="1">
      <c r="E95" s="56" t="s">
        <v>322</v>
      </c>
      <c r="F95" t="s">
        <v>323</v>
      </c>
      <c r="K95" s="4" t="s">
        <v>156</v>
      </c>
      <c r="L95" s="4"/>
    </row>
    <row r="96" spans="5:12" ht="22.5" customHeight="1">
      <c r="E96" s="56" t="s">
        <v>932</v>
      </c>
      <c r="F96" t="s">
        <v>932</v>
      </c>
      <c r="K96" s="4" t="s">
        <v>157</v>
      </c>
      <c r="L96" s="4"/>
    </row>
    <row r="97" spans="5:12" ht="22.5" customHeight="1">
      <c r="E97" s="56" t="s">
        <v>933</v>
      </c>
      <c r="F97" t="s">
        <v>933</v>
      </c>
      <c r="K97" s="4" t="s">
        <v>158</v>
      </c>
      <c r="L97" s="4"/>
    </row>
    <row r="98" spans="5:12" ht="22.5" customHeight="1">
      <c r="E98" s="56" t="s">
        <v>934</v>
      </c>
      <c r="F98" t="s">
        <v>934</v>
      </c>
      <c r="K98" s="4" t="s">
        <v>159</v>
      </c>
      <c r="L98" s="4"/>
    </row>
    <row r="99" spans="5:12" ht="22.5" customHeight="1">
      <c r="E99" s="56" t="s">
        <v>935</v>
      </c>
      <c r="F99" t="s">
        <v>935</v>
      </c>
      <c r="K99" s="4" t="s">
        <v>160</v>
      </c>
      <c r="L99" s="4"/>
    </row>
    <row r="100" spans="5:12" ht="22.5" customHeight="1">
      <c r="E100" s="56" t="s">
        <v>532</v>
      </c>
      <c r="F100" t="s">
        <v>533</v>
      </c>
      <c r="K100" s="4" t="s">
        <v>161</v>
      </c>
      <c r="L100" s="4"/>
    </row>
    <row r="101" spans="5:12" ht="22.5" customHeight="1">
      <c r="E101" s="56" t="s">
        <v>936</v>
      </c>
      <c r="F101" t="s">
        <v>936</v>
      </c>
      <c r="K101" s="4" t="s">
        <v>162</v>
      </c>
      <c r="L101" s="4"/>
    </row>
    <row r="102" spans="5:12" ht="22.5" customHeight="1">
      <c r="E102" s="56" t="s">
        <v>937</v>
      </c>
      <c r="F102" t="s">
        <v>937</v>
      </c>
      <c r="K102" s="4" t="s">
        <v>163</v>
      </c>
      <c r="L102" s="4"/>
    </row>
    <row r="103" spans="5:12" ht="22.5" customHeight="1">
      <c r="E103" s="56" t="s">
        <v>749</v>
      </c>
      <c r="F103" t="s">
        <v>612</v>
      </c>
      <c r="K103" s="4" t="s">
        <v>164</v>
      </c>
      <c r="L103" s="4"/>
    </row>
    <row r="104" spans="5:12" ht="22.5" customHeight="1">
      <c r="E104" s="56" t="s">
        <v>938</v>
      </c>
      <c r="F104" t="s">
        <v>938</v>
      </c>
      <c r="K104" s="4" t="s">
        <v>165</v>
      </c>
      <c r="L104" s="4"/>
    </row>
    <row r="105" spans="5:12" ht="22.5" customHeight="1">
      <c r="E105" s="56" t="s">
        <v>750</v>
      </c>
      <c r="F105" t="s">
        <v>613</v>
      </c>
      <c r="K105" s="4" t="s">
        <v>166</v>
      </c>
      <c r="L105" s="4"/>
    </row>
    <row r="106" spans="5:12" ht="22.5" customHeight="1">
      <c r="E106" s="56" t="s">
        <v>939</v>
      </c>
      <c r="F106" t="s">
        <v>939</v>
      </c>
      <c r="K106" s="4" t="s">
        <v>167</v>
      </c>
      <c r="L106" s="4"/>
    </row>
    <row r="107" spans="5:12" ht="22.5" customHeight="1">
      <c r="E107" s="56" t="s">
        <v>940</v>
      </c>
      <c r="F107" t="s">
        <v>940</v>
      </c>
      <c r="K107" s="4" t="s">
        <v>168</v>
      </c>
      <c r="L107" s="4"/>
    </row>
    <row r="108" spans="5:12" ht="22.5" customHeight="1">
      <c r="E108" s="56" t="s">
        <v>941</v>
      </c>
      <c r="F108" t="s">
        <v>941</v>
      </c>
      <c r="K108" s="4" t="s">
        <v>169</v>
      </c>
      <c r="L108" s="4"/>
    </row>
    <row r="109" spans="5:12" ht="22.5" customHeight="1">
      <c r="E109" s="56" t="s">
        <v>942</v>
      </c>
      <c r="F109" t="s">
        <v>942</v>
      </c>
      <c r="K109" s="4" t="s">
        <v>170</v>
      </c>
      <c r="L109" s="4"/>
    </row>
    <row r="110" spans="5:12" ht="22.5" customHeight="1">
      <c r="E110" s="56" t="s">
        <v>943</v>
      </c>
      <c r="F110" t="s">
        <v>943</v>
      </c>
      <c r="K110" s="4" t="s">
        <v>171</v>
      </c>
      <c r="L110" s="4"/>
    </row>
    <row r="111" spans="5:12" ht="22.5" customHeight="1">
      <c r="E111" s="56" t="s">
        <v>751</v>
      </c>
      <c r="F111" t="s">
        <v>614</v>
      </c>
      <c r="K111" s="4" t="s">
        <v>172</v>
      </c>
      <c r="L111" s="4"/>
    </row>
    <row r="112" spans="5:12" ht="22.5" customHeight="1">
      <c r="E112" s="56" t="s">
        <v>944</v>
      </c>
      <c r="F112" t="s">
        <v>944</v>
      </c>
      <c r="K112" s="4" t="s">
        <v>173</v>
      </c>
      <c r="L112" s="4"/>
    </row>
    <row r="113" spans="5:12" ht="22.5" customHeight="1">
      <c r="E113" s="56" t="s">
        <v>945</v>
      </c>
      <c r="F113" t="s">
        <v>945</v>
      </c>
      <c r="K113" s="4" t="s">
        <v>174</v>
      </c>
      <c r="L113" s="4"/>
    </row>
    <row r="114" spans="5:12" ht="22.5" customHeight="1">
      <c r="E114" s="56" t="s">
        <v>946</v>
      </c>
      <c r="F114" t="s">
        <v>946</v>
      </c>
      <c r="K114" s="4" t="s">
        <v>175</v>
      </c>
      <c r="L114" s="4"/>
    </row>
    <row r="115" spans="5:12" ht="22.5" customHeight="1">
      <c r="E115" s="56" t="s">
        <v>752</v>
      </c>
      <c r="F115" t="s">
        <v>615</v>
      </c>
      <c r="K115" s="4" t="s">
        <v>176</v>
      </c>
      <c r="L115" s="4"/>
    </row>
    <row r="116" spans="5:12" ht="22.5" customHeight="1">
      <c r="E116" s="56" t="s">
        <v>947</v>
      </c>
      <c r="F116" t="s">
        <v>947</v>
      </c>
      <c r="K116" s="4" t="s">
        <v>177</v>
      </c>
      <c r="L116" s="4"/>
    </row>
    <row r="117" spans="5:12" ht="22.5" customHeight="1">
      <c r="E117" s="56" t="s">
        <v>948</v>
      </c>
      <c r="F117" t="s">
        <v>948</v>
      </c>
      <c r="K117" s="4" t="s">
        <v>178</v>
      </c>
      <c r="L117" s="4"/>
    </row>
    <row r="118" spans="5:12" ht="22.5" customHeight="1">
      <c r="E118" s="56" t="s">
        <v>949</v>
      </c>
      <c r="F118" t="s">
        <v>950</v>
      </c>
      <c r="K118" s="4" t="s">
        <v>179</v>
      </c>
      <c r="L118" s="4"/>
    </row>
    <row r="119" spans="5:12" ht="22.5" customHeight="1">
      <c r="E119" s="56" t="s">
        <v>951</v>
      </c>
      <c r="F119" t="s">
        <v>952</v>
      </c>
      <c r="K119" s="4" t="s">
        <v>180</v>
      </c>
      <c r="L119" s="4"/>
    </row>
    <row r="120" spans="5:12" ht="22.5" customHeight="1">
      <c r="E120" s="56" t="s">
        <v>953</v>
      </c>
      <c r="F120" t="s">
        <v>953</v>
      </c>
      <c r="K120" s="4" t="s">
        <v>181</v>
      </c>
      <c r="L120" s="4"/>
    </row>
    <row r="121" spans="5:12" ht="22.5" customHeight="1">
      <c r="E121" s="56" t="s">
        <v>954</v>
      </c>
      <c r="F121" t="s">
        <v>954</v>
      </c>
      <c r="K121" s="4" t="s">
        <v>182</v>
      </c>
      <c r="L121" s="4"/>
    </row>
    <row r="122" spans="5:12" ht="22.5" customHeight="1">
      <c r="E122" s="56" t="s">
        <v>955</v>
      </c>
      <c r="F122" t="s">
        <v>955</v>
      </c>
      <c r="K122" s="4" t="s">
        <v>183</v>
      </c>
      <c r="L122" s="4"/>
    </row>
    <row r="123" spans="5:12" ht="22.5" customHeight="1">
      <c r="E123" s="56" t="s">
        <v>956</v>
      </c>
      <c r="F123" t="s">
        <v>956</v>
      </c>
      <c r="K123" s="4" t="s">
        <v>184</v>
      </c>
      <c r="L123" s="4"/>
    </row>
    <row r="124" spans="5:12" ht="22.5" customHeight="1">
      <c r="E124" s="56" t="s">
        <v>957</v>
      </c>
      <c r="F124" t="s">
        <v>957</v>
      </c>
      <c r="K124" s="4" t="s">
        <v>185</v>
      </c>
      <c r="L124" s="4"/>
    </row>
    <row r="125" spans="5:12" ht="22.5" customHeight="1">
      <c r="E125" s="56" t="s">
        <v>958</v>
      </c>
      <c r="F125" t="s">
        <v>958</v>
      </c>
      <c r="K125" s="4" t="s">
        <v>186</v>
      </c>
      <c r="L125" s="4"/>
    </row>
    <row r="126" spans="5:12" ht="22.5" customHeight="1">
      <c r="E126" s="56" t="s">
        <v>959</v>
      </c>
      <c r="F126" t="s">
        <v>959</v>
      </c>
      <c r="K126" s="4" t="s">
        <v>187</v>
      </c>
      <c r="L126" s="4"/>
    </row>
    <row r="127" spans="5:12" ht="22.5" customHeight="1">
      <c r="E127" s="56" t="s">
        <v>960</v>
      </c>
      <c r="F127" t="s">
        <v>960</v>
      </c>
      <c r="K127" s="4" t="s">
        <v>188</v>
      </c>
      <c r="L127" s="4"/>
    </row>
    <row r="128" spans="5:12" ht="22.5" customHeight="1">
      <c r="E128" s="56" t="s">
        <v>961</v>
      </c>
      <c r="F128" t="s">
        <v>961</v>
      </c>
      <c r="K128" s="4" t="s">
        <v>189</v>
      </c>
      <c r="L128" s="4"/>
    </row>
    <row r="129" spans="5:12" ht="22.5" customHeight="1">
      <c r="E129" s="56" t="s">
        <v>616</v>
      </c>
      <c r="F129" t="s">
        <v>616</v>
      </c>
      <c r="K129" s="4" t="s">
        <v>190</v>
      </c>
      <c r="L129" s="4"/>
    </row>
    <row r="130" spans="5:12" ht="22.5" customHeight="1">
      <c r="E130" s="56" t="s">
        <v>962</v>
      </c>
      <c r="F130" t="s">
        <v>962</v>
      </c>
      <c r="K130" s="4" t="s">
        <v>191</v>
      </c>
      <c r="L130" s="4"/>
    </row>
    <row r="131" spans="5:12" ht="22.5" customHeight="1">
      <c r="E131" s="56" t="s">
        <v>963</v>
      </c>
      <c r="F131" t="s">
        <v>963</v>
      </c>
      <c r="K131" s="4" t="s">
        <v>192</v>
      </c>
      <c r="L131" s="4"/>
    </row>
    <row r="132" spans="5:12" ht="22.5" customHeight="1">
      <c r="E132" s="56" t="s">
        <v>964</v>
      </c>
      <c r="F132" t="s">
        <v>964</v>
      </c>
      <c r="K132" s="4" t="s">
        <v>193</v>
      </c>
      <c r="L132" s="4"/>
    </row>
    <row r="133" spans="5:12" ht="22.5" customHeight="1">
      <c r="E133" s="56" t="s">
        <v>965</v>
      </c>
      <c r="F133" t="s">
        <v>965</v>
      </c>
      <c r="K133" s="4" t="s">
        <v>194</v>
      </c>
      <c r="L133" s="4"/>
    </row>
    <row r="134" spans="5:12" ht="22.5" customHeight="1">
      <c r="E134" s="56" t="s">
        <v>617</v>
      </c>
      <c r="F134" t="s">
        <v>617</v>
      </c>
      <c r="K134" s="4" t="s">
        <v>195</v>
      </c>
      <c r="L134" s="4"/>
    </row>
    <row r="135" spans="5:12" ht="22.5" customHeight="1">
      <c r="E135" s="56" t="s">
        <v>966</v>
      </c>
      <c r="F135" t="s">
        <v>966</v>
      </c>
      <c r="K135" s="4" t="s">
        <v>196</v>
      </c>
      <c r="L135" s="4"/>
    </row>
    <row r="136" spans="5:12" ht="22.5" customHeight="1">
      <c r="E136" s="56" t="s">
        <v>967</v>
      </c>
      <c r="F136" t="s">
        <v>967</v>
      </c>
      <c r="K136" s="4" t="s">
        <v>197</v>
      </c>
      <c r="L136" s="4"/>
    </row>
    <row r="137" spans="5:12" ht="22.5" customHeight="1">
      <c r="E137" s="56" t="s">
        <v>968</v>
      </c>
      <c r="F137" t="s">
        <v>968</v>
      </c>
      <c r="K137" s="4" t="s">
        <v>198</v>
      </c>
      <c r="L137" s="4"/>
    </row>
    <row r="138" spans="5:12" ht="22.5" customHeight="1">
      <c r="E138" s="56" t="s">
        <v>969</v>
      </c>
      <c r="F138" t="s">
        <v>969</v>
      </c>
      <c r="K138" s="4" t="s">
        <v>199</v>
      </c>
      <c r="L138" s="4"/>
    </row>
    <row r="139" spans="5:12" ht="22.5" customHeight="1">
      <c r="E139" s="56" t="s">
        <v>970</v>
      </c>
      <c r="F139" t="s">
        <v>971</v>
      </c>
      <c r="K139" s="4" t="s">
        <v>200</v>
      </c>
      <c r="L139" s="4"/>
    </row>
    <row r="140" spans="5:12" ht="22.5" customHeight="1">
      <c r="E140" s="56" t="s">
        <v>339</v>
      </c>
      <c r="F140" t="s">
        <v>340</v>
      </c>
      <c r="K140" s="4" t="s">
        <v>201</v>
      </c>
      <c r="L140" s="4"/>
    </row>
    <row r="141" spans="5:12" ht="22.5" customHeight="1">
      <c r="E141" s="56" t="s">
        <v>753</v>
      </c>
      <c r="F141" t="s">
        <v>618</v>
      </c>
      <c r="K141" s="4" t="s">
        <v>202</v>
      </c>
      <c r="L141" s="4"/>
    </row>
    <row r="142" spans="5:12" ht="22.5" customHeight="1">
      <c r="E142" s="56" t="s">
        <v>619</v>
      </c>
      <c r="F142" t="s">
        <v>619</v>
      </c>
      <c r="K142" s="4" t="s">
        <v>203</v>
      </c>
      <c r="L142" s="4"/>
    </row>
    <row r="143" spans="5:12" ht="22.5" customHeight="1">
      <c r="E143" s="56" t="s">
        <v>754</v>
      </c>
      <c r="F143" t="s">
        <v>620</v>
      </c>
      <c r="K143" s="4" t="s">
        <v>204</v>
      </c>
      <c r="L143" s="4"/>
    </row>
    <row r="144" spans="5:12" ht="22.5" customHeight="1">
      <c r="E144" s="56" t="s">
        <v>621</v>
      </c>
      <c r="F144" t="s">
        <v>621</v>
      </c>
      <c r="K144" s="4" t="s">
        <v>205</v>
      </c>
      <c r="L144" s="4"/>
    </row>
    <row r="145" spans="5:12" ht="22.5" customHeight="1">
      <c r="E145" s="56" t="s">
        <v>972</v>
      </c>
      <c r="F145" t="s">
        <v>972</v>
      </c>
      <c r="K145" s="4" t="s">
        <v>206</v>
      </c>
      <c r="L145" s="4"/>
    </row>
    <row r="146" spans="5:12" ht="22.5" customHeight="1">
      <c r="E146" s="56" t="s">
        <v>973</v>
      </c>
      <c r="F146" t="s">
        <v>973</v>
      </c>
      <c r="K146" s="4" t="s">
        <v>207</v>
      </c>
      <c r="L146" s="4"/>
    </row>
    <row r="147" spans="5:12" ht="22.5" customHeight="1">
      <c r="E147" s="56" t="s">
        <v>622</v>
      </c>
      <c r="F147" t="s">
        <v>622</v>
      </c>
      <c r="K147" s="4" t="s">
        <v>208</v>
      </c>
      <c r="L147" s="4"/>
    </row>
    <row r="148" spans="5:12" ht="22.5" customHeight="1">
      <c r="E148" s="56" t="s">
        <v>623</v>
      </c>
      <c r="F148" t="s">
        <v>623</v>
      </c>
      <c r="K148" s="4" t="s">
        <v>209</v>
      </c>
      <c r="L148" s="4"/>
    </row>
    <row r="149" spans="5:12" ht="22.5" customHeight="1">
      <c r="E149" s="56" t="s">
        <v>974</v>
      </c>
      <c r="F149" t="s">
        <v>975</v>
      </c>
      <c r="K149" s="4" t="s">
        <v>210</v>
      </c>
      <c r="L149" s="4"/>
    </row>
    <row r="150" spans="5:12" ht="22.5" customHeight="1">
      <c r="E150" s="56" t="s">
        <v>976</v>
      </c>
      <c r="F150" t="s">
        <v>976</v>
      </c>
      <c r="K150" s="4" t="s">
        <v>211</v>
      </c>
      <c r="L150" s="4"/>
    </row>
    <row r="151" spans="5:12" ht="22.5" customHeight="1">
      <c r="E151" s="56" t="s">
        <v>624</v>
      </c>
      <c r="F151" t="s">
        <v>624</v>
      </c>
      <c r="K151" s="4" t="s">
        <v>212</v>
      </c>
      <c r="L151" s="4"/>
    </row>
    <row r="152" spans="5:12" ht="22.5" customHeight="1">
      <c r="E152" s="56" t="s">
        <v>977</v>
      </c>
      <c r="F152" t="s">
        <v>977</v>
      </c>
      <c r="K152" s="4" t="s">
        <v>213</v>
      </c>
      <c r="L152" s="4"/>
    </row>
    <row r="153" spans="5:12" ht="22.5" customHeight="1">
      <c r="E153" s="56" t="s">
        <v>978</v>
      </c>
      <c r="F153" t="s">
        <v>979</v>
      </c>
      <c r="K153" s="4" t="s">
        <v>214</v>
      </c>
      <c r="L153" s="4"/>
    </row>
    <row r="154" spans="5:12" ht="22.5" customHeight="1">
      <c r="E154" s="56" t="s">
        <v>980</v>
      </c>
      <c r="F154" t="s">
        <v>980</v>
      </c>
      <c r="K154" s="4" t="s">
        <v>215</v>
      </c>
      <c r="L154" s="4"/>
    </row>
    <row r="155" spans="5:12" ht="22.5" customHeight="1">
      <c r="E155" s="56" t="s">
        <v>981</v>
      </c>
      <c r="F155" t="s">
        <v>981</v>
      </c>
      <c r="K155" s="4" t="s">
        <v>216</v>
      </c>
      <c r="L155" s="4"/>
    </row>
    <row r="156" spans="5:12" ht="22.5" customHeight="1">
      <c r="E156" s="56" t="s">
        <v>625</v>
      </c>
      <c r="F156" t="s">
        <v>625</v>
      </c>
      <c r="K156" s="4" t="s">
        <v>217</v>
      </c>
      <c r="L156" s="4"/>
    </row>
    <row r="157" spans="5:12" ht="22.5" customHeight="1">
      <c r="E157" s="56" t="s">
        <v>982</v>
      </c>
      <c r="F157" t="s">
        <v>983</v>
      </c>
      <c r="K157" s="4" t="s">
        <v>218</v>
      </c>
      <c r="L157" s="4"/>
    </row>
    <row r="158" spans="5:12" ht="22.5" customHeight="1">
      <c r="E158" s="56" t="s">
        <v>984</v>
      </c>
      <c r="F158" t="s">
        <v>984</v>
      </c>
      <c r="K158" s="4" t="s">
        <v>219</v>
      </c>
      <c r="L158" s="4"/>
    </row>
    <row r="159" spans="5:12" ht="22.5" customHeight="1">
      <c r="E159" s="56" t="s">
        <v>626</v>
      </c>
      <c r="F159" t="s">
        <v>626</v>
      </c>
      <c r="K159" s="4" t="s">
        <v>220</v>
      </c>
      <c r="L159" s="4"/>
    </row>
    <row r="160" spans="5:12" ht="22.5" customHeight="1">
      <c r="E160" s="56" t="s">
        <v>985</v>
      </c>
      <c r="F160" t="s">
        <v>985</v>
      </c>
      <c r="K160" s="4" t="s">
        <v>221</v>
      </c>
      <c r="L160" s="4"/>
    </row>
    <row r="161" spans="5:12" ht="22.5" customHeight="1">
      <c r="E161" s="56" t="s">
        <v>627</v>
      </c>
      <c r="F161" t="s">
        <v>627</v>
      </c>
      <c r="K161" s="4" t="s">
        <v>222</v>
      </c>
      <c r="L161" s="4"/>
    </row>
    <row r="162" spans="5:12" ht="22.5" customHeight="1">
      <c r="E162" s="56" t="s">
        <v>986</v>
      </c>
      <c r="F162" t="s">
        <v>986</v>
      </c>
      <c r="K162" s="4" t="s">
        <v>223</v>
      </c>
      <c r="L162" s="4"/>
    </row>
    <row r="163" spans="5:12" ht="22.5" customHeight="1">
      <c r="E163" s="56" t="s">
        <v>755</v>
      </c>
      <c r="F163" t="s">
        <v>628</v>
      </c>
      <c r="K163" s="4" t="s">
        <v>224</v>
      </c>
      <c r="L163" s="4"/>
    </row>
    <row r="164" spans="5:12" ht="22.5" customHeight="1">
      <c r="E164" s="56" t="s">
        <v>629</v>
      </c>
      <c r="F164" t="s">
        <v>629</v>
      </c>
      <c r="K164" s="4" t="s">
        <v>225</v>
      </c>
      <c r="L164" s="4"/>
    </row>
    <row r="165" spans="5:12" ht="22.5" customHeight="1">
      <c r="E165" s="56" t="s">
        <v>987</v>
      </c>
      <c r="F165" t="s">
        <v>987</v>
      </c>
      <c r="K165" s="4" t="s">
        <v>226</v>
      </c>
      <c r="L165" s="4"/>
    </row>
    <row r="166" spans="5:12" ht="22.5" customHeight="1">
      <c r="E166" s="56" t="s">
        <v>988</v>
      </c>
      <c r="F166" t="s">
        <v>988</v>
      </c>
      <c r="K166" s="4" t="s">
        <v>227</v>
      </c>
      <c r="L166" s="4"/>
    </row>
    <row r="167" spans="5:12" ht="22.5" customHeight="1">
      <c r="E167" s="56" t="s">
        <v>989</v>
      </c>
      <c r="F167" t="s">
        <v>989</v>
      </c>
      <c r="K167" s="4" t="s">
        <v>228</v>
      </c>
      <c r="L167" s="4"/>
    </row>
    <row r="168" spans="5:12" ht="22.5" customHeight="1">
      <c r="E168" s="56" t="s">
        <v>990</v>
      </c>
      <c r="F168" t="s">
        <v>991</v>
      </c>
      <c r="K168" s="4" t="s">
        <v>229</v>
      </c>
      <c r="L168" s="4"/>
    </row>
    <row r="169" spans="5:12" ht="22.5" customHeight="1">
      <c r="E169" s="56" t="s">
        <v>630</v>
      </c>
      <c r="F169" t="s">
        <v>630</v>
      </c>
      <c r="K169" s="4" t="s">
        <v>230</v>
      </c>
      <c r="L169" s="4"/>
    </row>
    <row r="170" spans="5:12" ht="22.5" customHeight="1">
      <c r="E170" s="56" t="s">
        <v>631</v>
      </c>
      <c r="F170" t="s">
        <v>631</v>
      </c>
      <c r="K170" s="4" t="s">
        <v>231</v>
      </c>
      <c r="L170" s="4"/>
    </row>
    <row r="171" spans="5:12" ht="22.5" customHeight="1">
      <c r="E171" s="56" t="s">
        <v>992</v>
      </c>
      <c r="F171" t="s">
        <v>992</v>
      </c>
      <c r="K171" s="4" t="s">
        <v>232</v>
      </c>
      <c r="L171" s="4"/>
    </row>
    <row r="172" spans="5:12" ht="22.5" customHeight="1">
      <c r="E172" s="56" t="s">
        <v>993</v>
      </c>
      <c r="F172" t="s">
        <v>993</v>
      </c>
      <c r="K172" s="4" t="s">
        <v>233</v>
      </c>
      <c r="L172" s="4"/>
    </row>
    <row r="173" spans="5:12" ht="22.5" customHeight="1">
      <c r="E173" s="56" t="s">
        <v>994</v>
      </c>
      <c r="F173" t="s">
        <v>994</v>
      </c>
      <c r="K173" s="4" t="s">
        <v>234</v>
      </c>
      <c r="L173" s="4"/>
    </row>
    <row r="174" spans="5:12" ht="22.5" customHeight="1">
      <c r="E174" s="56" t="s">
        <v>995</v>
      </c>
      <c r="F174" t="s">
        <v>995</v>
      </c>
      <c r="K174" s="4" t="s">
        <v>235</v>
      </c>
      <c r="L174" s="4"/>
    </row>
    <row r="175" spans="5:12" ht="22.5" customHeight="1">
      <c r="E175" s="56" t="s">
        <v>756</v>
      </c>
      <c r="F175" t="s">
        <v>632</v>
      </c>
      <c r="K175" s="4" t="s">
        <v>236</v>
      </c>
      <c r="L175" s="4"/>
    </row>
    <row r="176" spans="5:12" ht="22.5" customHeight="1">
      <c r="E176" s="56" t="s">
        <v>996</v>
      </c>
      <c r="F176" t="s">
        <v>996</v>
      </c>
      <c r="K176" s="4" t="s">
        <v>237</v>
      </c>
      <c r="L176" s="4"/>
    </row>
    <row r="177" spans="5:12" ht="22.5" customHeight="1">
      <c r="E177" s="56" t="s">
        <v>997</v>
      </c>
      <c r="F177" t="s">
        <v>997</v>
      </c>
      <c r="K177" s="4" t="s">
        <v>238</v>
      </c>
      <c r="L177" s="4"/>
    </row>
    <row r="178" spans="5:12" ht="22.5" customHeight="1">
      <c r="E178" s="56" t="s">
        <v>633</v>
      </c>
      <c r="F178" t="s">
        <v>633</v>
      </c>
      <c r="K178" s="4" t="s">
        <v>239</v>
      </c>
      <c r="L178" s="4"/>
    </row>
    <row r="179" spans="5:12" ht="22.5" customHeight="1">
      <c r="E179" s="56" t="s">
        <v>757</v>
      </c>
      <c r="F179" t="s">
        <v>634</v>
      </c>
      <c r="K179" s="4" t="s">
        <v>240</v>
      </c>
      <c r="L179" s="4"/>
    </row>
    <row r="180" spans="5:12" ht="22.5" customHeight="1">
      <c r="E180" s="56" t="s">
        <v>758</v>
      </c>
      <c r="F180" t="s">
        <v>635</v>
      </c>
      <c r="K180" s="4" t="s">
        <v>241</v>
      </c>
      <c r="L180" s="4"/>
    </row>
    <row r="181" spans="5:12" ht="22.5" customHeight="1">
      <c r="E181" s="56" t="s">
        <v>998</v>
      </c>
      <c r="F181" t="s">
        <v>998</v>
      </c>
      <c r="K181" s="4" t="s">
        <v>242</v>
      </c>
      <c r="L181" s="4"/>
    </row>
    <row r="182" spans="5:12" ht="22.5" customHeight="1">
      <c r="E182" s="56" t="s">
        <v>999</v>
      </c>
      <c r="F182" t="s">
        <v>999</v>
      </c>
      <c r="K182" s="4" t="s">
        <v>243</v>
      </c>
      <c r="L182" s="4"/>
    </row>
    <row r="183" spans="5:12" ht="22.5" customHeight="1">
      <c r="E183" s="56" t="s">
        <v>1000</v>
      </c>
      <c r="F183" t="s">
        <v>1000</v>
      </c>
      <c r="K183" s="4" t="s">
        <v>244</v>
      </c>
      <c r="L183" s="4"/>
    </row>
    <row r="184" spans="5:12" ht="22.5" customHeight="1">
      <c r="E184" s="56" t="s">
        <v>1001</v>
      </c>
      <c r="F184" t="s">
        <v>1001</v>
      </c>
      <c r="K184" s="4" t="s">
        <v>245</v>
      </c>
      <c r="L184" s="4"/>
    </row>
    <row r="185" spans="5:12" ht="22.5" customHeight="1">
      <c r="E185" s="56" t="s">
        <v>1002</v>
      </c>
      <c r="F185" t="s">
        <v>1002</v>
      </c>
      <c r="K185" s="4" t="s">
        <v>246</v>
      </c>
      <c r="L185" s="4"/>
    </row>
    <row r="186" spans="5:12" ht="22.5" customHeight="1">
      <c r="E186" s="56" t="s">
        <v>1003</v>
      </c>
      <c r="F186" t="s">
        <v>1003</v>
      </c>
      <c r="K186" s="4" t="s">
        <v>247</v>
      </c>
      <c r="L186" s="4"/>
    </row>
    <row r="187" spans="5:12" ht="22.5" customHeight="1">
      <c r="E187" s="56" t="s">
        <v>636</v>
      </c>
      <c r="F187" t="s">
        <v>636</v>
      </c>
      <c r="K187" s="4" t="s">
        <v>248</v>
      </c>
      <c r="L187" s="4"/>
    </row>
    <row r="188" spans="5:12" ht="22.5" customHeight="1">
      <c r="E188" s="56" t="s">
        <v>1004</v>
      </c>
      <c r="F188" t="s">
        <v>1004</v>
      </c>
      <c r="K188" s="4" t="s">
        <v>249</v>
      </c>
      <c r="L188" s="4"/>
    </row>
    <row r="189" spans="5:12" ht="22.5" customHeight="1">
      <c r="E189" s="56" t="s">
        <v>637</v>
      </c>
      <c r="F189" t="s">
        <v>637</v>
      </c>
      <c r="K189" s="4" t="s">
        <v>250</v>
      </c>
      <c r="L189" s="4"/>
    </row>
    <row r="190" spans="5:12" ht="22.5" customHeight="1">
      <c r="E190" s="56" t="s">
        <v>1005</v>
      </c>
      <c r="F190" t="s">
        <v>1005</v>
      </c>
      <c r="K190" s="4" t="s">
        <v>251</v>
      </c>
      <c r="L190" s="4"/>
    </row>
    <row r="191" spans="5:12" ht="22.5" customHeight="1">
      <c r="E191" s="56" t="s">
        <v>1006</v>
      </c>
      <c r="F191" t="s">
        <v>1006</v>
      </c>
      <c r="K191" s="4" t="s">
        <v>252</v>
      </c>
      <c r="L191" s="4"/>
    </row>
    <row r="192" spans="5:12" ht="22.5" customHeight="1">
      <c r="E192" s="56" t="s">
        <v>1007</v>
      </c>
      <c r="F192" t="s">
        <v>1007</v>
      </c>
      <c r="K192" s="4" t="s">
        <v>253</v>
      </c>
      <c r="L192" s="4"/>
    </row>
    <row r="193" spans="5:12" ht="22.5" customHeight="1">
      <c r="E193" s="56" t="s">
        <v>1008</v>
      </c>
      <c r="F193" t="s">
        <v>1008</v>
      </c>
      <c r="K193" s="4" t="s">
        <v>254</v>
      </c>
      <c r="L193" s="4"/>
    </row>
    <row r="194" spans="5:12" ht="22.5" customHeight="1">
      <c r="E194" s="56" t="s">
        <v>1009</v>
      </c>
      <c r="F194" t="s">
        <v>1009</v>
      </c>
      <c r="K194" s="4" t="s">
        <v>255</v>
      </c>
      <c r="L194" s="4"/>
    </row>
    <row r="195" spans="5:12" ht="22.5" customHeight="1">
      <c r="E195" s="56" t="s">
        <v>1010</v>
      </c>
      <c r="F195" t="s">
        <v>1010</v>
      </c>
      <c r="K195" s="4" t="s">
        <v>256</v>
      </c>
      <c r="L195" s="4"/>
    </row>
    <row r="196" spans="5:12" ht="22.5" customHeight="1">
      <c r="E196" s="56" t="s">
        <v>1011</v>
      </c>
      <c r="F196" t="s">
        <v>1011</v>
      </c>
      <c r="K196" s="4" t="s">
        <v>257</v>
      </c>
      <c r="L196" s="4"/>
    </row>
    <row r="197" spans="5:12" ht="22.5" customHeight="1">
      <c r="E197" s="56" t="s">
        <v>1012</v>
      </c>
      <c r="F197" t="s">
        <v>1012</v>
      </c>
      <c r="K197" s="4" t="s">
        <v>258</v>
      </c>
      <c r="L197" s="4"/>
    </row>
    <row r="198" spans="5:12" ht="22.5" customHeight="1">
      <c r="E198" s="56" t="s">
        <v>1013</v>
      </c>
      <c r="F198" t="s">
        <v>1013</v>
      </c>
      <c r="K198" s="4" t="s">
        <v>259</v>
      </c>
      <c r="L198" s="4"/>
    </row>
    <row r="199" spans="5:12" ht="22.5" customHeight="1">
      <c r="E199" s="56" t="s">
        <v>638</v>
      </c>
      <c r="F199" t="s">
        <v>638</v>
      </c>
      <c r="K199" s="4" t="s">
        <v>260</v>
      </c>
      <c r="L199" s="4"/>
    </row>
    <row r="200" spans="5:12" ht="22.5" customHeight="1">
      <c r="E200" s="56" t="s">
        <v>1014</v>
      </c>
      <c r="F200" t="s">
        <v>1014</v>
      </c>
      <c r="K200" s="4" t="s">
        <v>261</v>
      </c>
      <c r="L200" s="4"/>
    </row>
    <row r="201" spans="5:12" ht="22.5" customHeight="1">
      <c r="E201" s="56" t="s">
        <v>1015</v>
      </c>
      <c r="F201" t="s">
        <v>1015</v>
      </c>
      <c r="K201" s="4" t="s">
        <v>262</v>
      </c>
      <c r="L201" s="4"/>
    </row>
    <row r="202" spans="5:12" ht="22.5" customHeight="1">
      <c r="E202" s="56" t="s">
        <v>1016</v>
      </c>
      <c r="F202" t="s">
        <v>1016</v>
      </c>
      <c r="K202" s="4" t="s">
        <v>263</v>
      </c>
      <c r="L202" s="4"/>
    </row>
    <row r="203" spans="5:12" ht="22.5" customHeight="1">
      <c r="E203" s="56" t="s">
        <v>1017</v>
      </c>
      <c r="F203" t="s">
        <v>1017</v>
      </c>
      <c r="K203" s="4" t="s">
        <v>264</v>
      </c>
      <c r="L203" s="4"/>
    </row>
    <row r="204" spans="5:12" ht="22.5" customHeight="1">
      <c r="E204" s="56" t="s">
        <v>1018</v>
      </c>
      <c r="F204" t="s">
        <v>1018</v>
      </c>
      <c r="K204" s="4" t="s">
        <v>265</v>
      </c>
      <c r="L204" s="4"/>
    </row>
    <row r="205" spans="5:12" ht="22.5" customHeight="1">
      <c r="E205" s="2" t="s">
        <v>639</v>
      </c>
      <c r="F205" s="2" t="s">
        <v>639</v>
      </c>
      <c r="K205" s="4" t="s">
        <v>266</v>
      </c>
      <c r="L205" s="4"/>
    </row>
    <row r="206" spans="5:12" ht="22.5" customHeight="1">
      <c r="E206" s="2" t="s">
        <v>640</v>
      </c>
      <c r="F206" s="2" t="s">
        <v>640</v>
      </c>
      <c r="K206" s="4" t="s">
        <v>267</v>
      </c>
      <c r="L206" s="4"/>
    </row>
    <row r="207" spans="5:12" ht="22.5" customHeight="1">
      <c r="E207" s="2" t="s">
        <v>1019</v>
      </c>
      <c r="F207" s="2" t="s">
        <v>1019</v>
      </c>
      <c r="K207" s="4" t="s">
        <v>268</v>
      </c>
      <c r="L207" s="4"/>
    </row>
    <row r="208" spans="5:12" ht="22.5" customHeight="1">
      <c r="E208" s="2" t="s">
        <v>1020</v>
      </c>
      <c r="F208" s="2" t="s">
        <v>1020</v>
      </c>
      <c r="K208" s="4" t="s">
        <v>269</v>
      </c>
      <c r="L208" s="4"/>
    </row>
    <row r="209" spans="5:12" ht="22.5" customHeight="1">
      <c r="E209" s="2" t="s">
        <v>1021</v>
      </c>
      <c r="F209" s="2" t="s">
        <v>1021</v>
      </c>
      <c r="K209" s="4" t="s">
        <v>270</v>
      </c>
      <c r="L209" s="4"/>
    </row>
    <row r="210" spans="5:12" ht="22.5" customHeight="1">
      <c r="E210" s="2" t="s">
        <v>641</v>
      </c>
      <c r="F210" s="2" t="s">
        <v>641</v>
      </c>
      <c r="K210" s="4" t="s">
        <v>271</v>
      </c>
      <c r="L210" s="4"/>
    </row>
    <row r="211" spans="5:12" ht="22.5" customHeight="1">
      <c r="E211" s="2" t="s">
        <v>1022</v>
      </c>
      <c r="F211" s="2" t="s">
        <v>1023</v>
      </c>
      <c r="K211" s="4" t="s">
        <v>272</v>
      </c>
      <c r="L211" s="4"/>
    </row>
    <row r="212" spans="5:12" ht="22.5" customHeight="1">
      <c r="E212" s="2" t="s">
        <v>1024</v>
      </c>
      <c r="F212" s="2" t="s">
        <v>1024</v>
      </c>
      <c r="K212" s="4" t="s">
        <v>273</v>
      </c>
      <c r="L212" s="4"/>
    </row>
    <row r="213" spans="5:12" ht="22.5" customHeight="1">
      <c r="E213" s="2" t="s">
        <v>1025</v>
      </c>
      <c r="F213" s="2" t="s">
        <v>1025</v>
      </c>
      <c r="K213" s="4" t="s">
        <v>274</v>
      </c>
      <c r="L213" s="4"/>
    </row>
    <row r="214" spans="5:12" ht="22.5" customHeight="1">
      <c r="E214" s="2" t="s">
        <v>1026</v>
      </c>
      <c r="F214" s="2" t="s">
        <v>1027</v>
      </c>
      <c r="K214" s="4" t="s">
        <v>275</v>
      </c>
      <c r="L214" s="4"/>
    </row>
    <row r="215" spans="5:12" ht="22.5" customHeight="1">
      <c r="E215" s="2" t="s">
        <v>642</v>
      </c>
      <c r="F215" s="2" t="s">
        <v>642</v>
      </c>
      <c r="K215" s="4" t="s">
        <v>276</v>
      </c>
      <c r="L215" s="4"/>
    </row>
    <row r="216" spans="5:12" ht="22.5" customHeight="1">
      <c r="E216" s="2" t="s">
        <v>643</v>
      </c>
      <c r="F216" s="2" t="s">
        <v>643</v>
      </c>
      <c r="K216" s="4" t="s">
        <v>277</v>
      </c>
      <c r="L216" s="4"/>
    </row>
    <row r="217" spans="5:12" ht="22.5" customHeight="1">
      <c r="E217" s="2" t="s">
        <v>1028</v>
      </c>
      <c r="F217" s="2" t="s">
        <v>1028</v>
      </c>
      <c r="K217" s="4" t="s">
        <v>278</v>
      </c>
      <c r="L217" s="4"/>
    </row>
    <row r="218" spans="5:12" ht="22.5" customHeight="1">
      <c r="E218" s="2" t="s">
        <v>1029</v>
      </c>
      <c r="F218" s="2" t="s">
        <v>1029</v>
      </c>
      <c r="K218" s="4" t="s">
        <v>279</v>
      </c>
      <c r="L218" s="4"/>
    </row>
    <row r="219" spans="5:12" ht="22.5" customHeight="1">
      <c r="E219" s="2" t="s">
        <v>1030</v>
      </c>
      <c r="F219" s="2" t="s">
        <v>1030</v>
      </c>
      <c r="K219" s="4" t="s">
        <v>280</v>
      </c>
      <c r="L219" s="4"/>
    </row>
    <row r="220" spans="5:12" ht="22.5" customHeight="1">
      <c r="E220" s="2" t="s">
        <v>644</v>
      </c>
      <c r="F220" s="2" t="s">
        <v>644</v>
      </c>
      <c r="K220" s="4" t="s">
        <v>281</v>
      </c>
      <c r="L220" s="4"/>
    </row>
    <row r="221" spans="5:12" ht="22.5" customHeight="1">
      <c r="E221" s="2" t="s">
        <v>645</v>
      </c>
      <c r="F221" s="2" t="s">
        <v>645</v>
      </c>
      <c r="K221" s="4" t="s">
        <v>282</v>
      </c>
      <c r="L221" s="4"/>
    </row>
    <row r="222" spans="5:12" ht="22.5" customHeight="1">
      <c r="E222" s="2" t="s">
        <v>759</v>
      </c>
      <c r="F222" s="2" t="s">
        <v>646</v>
      </c>
      <c r="K222" s="4" t="s">
        <v>283</v>
      </c>
      <c r="L222" s="4"/>
    </row>
    <row r="223" spans="5:12" ht="22.5" customHeight="1">
      <c r="E223" s="2" t="s">
        <v>1031</v>
      </c>
      <c r="F223" s="2" t="s">
        <v>1031</v>
      </c>
      <c r="K223" s="4" t="s">
        <v>284</v>
      </c>
      <c r="L223" s="4"/>
    </row>
    <row r="224" spans="5:12" ht="22.5" customHeight="1">
      <c r="E224" s="2" t="s">
        <v>1032</v>
      </c>
      <c r="F224" s="2" t="s">
        <v>1032</v>
      </c>
      <c r="K224" s="4" t="s">
        <v>285</v>
      </c>
      <c r="L224" s="4"/>
    </row>
    <row r="225" spans="5:12" ht="22.5" customHeight="1">
      <c r="E225" s="2" t="s">
        <v>1033</v>
      </c>
      <c r="F225" s="2" t="s">
        <v>1034</v>
      </c>
      <c r="K225" s="4" t="s">
        <v>286</v>
      </c>
      <c r="L225" s="4"/>
    </row>
    <row r="226" spans="5:12" ht="22.5" customHeight="1">
      <c r="E226" s="2" t="s">
        <v>1035</v>
      </c>
      <c r="F226" s="2" t="s">
        <v>1035</v>
      </c>
      <c r="K226" s="4" t="s">
        <v>287</v>
      </c>
      <c r="L226" s="4"/>
    </row>
    <row r="227" spans="5:12" ht="22.5" customHeight="1">
      <c r="E227" s="2" t="s">
        <v>468</v>
      </c>
      <c r="F227" s="2" t="s">
        <v>469</v>
      </c>
      <c r="K227" s="4" t="s">
        <v>288</v>
      </c>
      <c r="L227" s="4"/>
    </row>
    <row r="228" spans="5:12" ht="22.5" customHeight="1">
      <c r="E228" s="2" t="s">
        <v>1036</v>
      </c>
      <c r="F228" s="2" t="s">
        <v>1036</v>
      </c>
      <c r="K228" s="4" t="s">
        <v>289</v>
      </c>
      <c r="L228" s="4"/>
    </row>
    <row r="229" spans="5:12" ht="22.5" customHeight="1">
      <c r="E229" s="2" t="s">
        <v>760</v>
      </c>
      <c r="F229" s="2" t="s">
        <v>647</v>
      </c>
      <c r="K229" s="4" t="s">
        <v>290</v>
      </c>
      <c r="L229" s="4"/>
    </row>
    <row r="230" spans="5:12" ht="22.5" customHeight="1">
      <c r="E230" s="2" t="s">
        <v>470</v>
      </c>
      <c r="F230" s="2" t="s">
        <v>471</v>
      </c>
      <c r="K230" s="4" t="s">
        <v>291</v>
      </c>
      <c r="L230" s="4"/>
    </row>
    <row r="231" spans="5:12" ht="22.5" customHeight="1">
      <c r="E231" s="2" t="s">
        <v>761</v>
      </c>
      <c r="F231" s="2" t="s">
        <v>648</v>
      </c>
      <c r="K231" s="4" t="s">
        <v>292</v>
      </c>
      <c r="L231" s="4"/>
    </row>
    <row r="232" spans="5:12" ht="22.5" customHeight="1">
      <c r="E232" s="2" t="s">
        <v>1037</v>
      </c>
      <c r="F232" s="2" t="s">
        <v>1037</v>
      </c>
      <c r="K232" s="4" t="s">
        <v>293</v>
      </c>
      <c r="L232" s="4"/>
    </row>
    <row r="233" spans="5:12" ht="22.5" customHeight="1">
      <c r="E233" s="2" t="s">
        <v>1038</v>
      </c>
      <c r="F233" s="2" t="s">
        <v>1038</v>
      </c>
      <c r="K233" s="4" t="s">
        <v>294</v>
      </c>
      <c r="L233" s="4"/>
    </row>
    <row r="234" spans="5:12" ht="22.5" customHeight="1">
      <c r="E234" s="2" t="s">
        <v>762</v>
      </c>
      <c r="F234" s="2" t="s">
        <v>649</v>
      </c>
      <c r="K234" s="4" t="s">
        <v>295</v>
      </c>
      <c r="L234" s="4"/>
    </row>
    <row r="235" spans="5:12" ht="22.5" customHeight="1">
      <c r="E235" s="2" t="s">
        <v>312</v>
      </c>
      <c r="F235" s="2" t="s">
        <v>313</v>
      </c>
      <c r="K235" s="4" t="s">
        <v>296</v>
      </c>
      <c r="L235" s="4"/>
    </row>
    <row r="236" spans="5:12" ht="22.5" customHeight="1">
      <c r="E236" s="2" t="s">
        <v>650</v>
      </c>
      <c r="F236" s="2" t="s">
        <v>650</v>
      </c>
      <c r="K236" s="4" t="s">
        <v>297</v>
      </c>
      <c r="L236" s="4"/>
    </row>
    <row r="237" spans="5:12" ht="22.5" customHeight="1">
      <c r="E237" s="2" t="s">
        <v>763</v>
      </c>
      <c r="F237" s="2" t="s">
        <v>651</v>
      </c>
      <c r="K237" s="4" t="s">
        <v>298</v>
      </c>
      <c r="L237" s="4"/>
    </row>
    <row r="238" spans="5:12" ht="22.5" customHeight="1">
      <c r="E238" s="2" t="s">
        <v>1039</v>
      </c>
      <c r="F238" s="2" t="s">
        <v>1039</v>
      </c>
      <c r="K238" s="4" t="s">
        <v>299</v>
      </c>
      <c r="L238" s="4"/>
    </row>
    <row r="239" spans="5:12" ht="22.5" customHeight="1">
      <c r="E239" s="2" t="s">
        <v>1040</v>
      </c>
      <c r="F239" s="2" t="s">
        <v>1040</v>
      </c>
      <c r="K239" s="4" t="s">
        <v>300</v>
      </c>
      <c r="L239" s="4"/>
    </row>
    <row r="240" spans="5:12" ht="22.5" customHeight="1">
      <c r="E240" s="2" t="s">
        <v>652</v>
      </c>
      <c r="F240" s="2" t="s">
        <v>652</v>
      </c>
      <c r="K240" s="4" t="s">
        <v>301</v>
      </c>
      <c r="L240" s="4"/>
    </row>
    <row r="241" spans="5:12" ht="22.5" customHeight="1">
      <c r="E241" s="2" t="s">
        <v>1041</v>
      </c>
      <c r="F241" s="2" t="s">
        <v>1041</v>
      </c>
      <c r="K241" s="4" t="s">
        <v>302</v>
      </c>
      <c r="L241" s="4"/>
    </row>
    <row r="242" spans="5:12" ht="22.5" customHeight="1">
      <c r="E242" s="2" t="s">
        <v>1042</v>
      </c>
      <c r="F242" s="2" t="s">
        <v>1043</v>
      </c>
      <c r="K242" s="4" t="s">
        <v>303</v>
      </c>
      <c r="L242" s="4"/>
    </row>
    <row r="243" spans="5:12" ht="22.5" customHeight="1">
      <c r="E243" s="2" t="s">
        <v>653</v>
      </c>
      <c r="F243" s="2" t="s">
        <v>653</v>
      </c>
      <c r="K243" s="4" t="s">
        <v>304</v>
      </c>
      <c r="L243" s="4"/>
    </row>
    <row r="244" spans="5:12" ht="22.5" customHeight="1">
      <c r="E244" s="2" t="s">
        <v>654</v>
      </c>
      <c r="F244" s="2" t="s">
        <v>654</v>
      </c>
      <c r="K244" s="4" t="s">
        <v>305</v>
      </c>
      <c r="L244" s="4"/>
    </row>
    <row r="245" spans="5:12" ht="22.5" customHeight="1">
      <c r="E245" s="2" t="s">
        <v>764</v>
      </c>
      <c r="F245" s="2" t="s">
        <v>655</v>
      </c>
      <c r="K245" s="4" t="s">
        <v>306</v>
      </c>
      <c r="L245" s="4"/>
    </row>
    <row r="246" spans="5:12" ht="22.5" customHeight="1">
      <c r="E246" s="2" t="s">
        <v>765</v>
      </c>
      <c r="F246" s="2" t="s">
        <v>656</v>
      </c>
    </row>
    <row r="247" spans="5:12" ht="22.5" customHeight="1">
      <c r="E247" s="2" t="s">
        <v>657</v>
      </c>
      <c r="F247" s="2" t="s">
        <v>657</v>
      </c>
    </row>
    <row r="248" spans="5:12" ht="22.5" customHeight="1">
      <c r="E248" s="2" t="s">
        <v>1044</v>
      </c>
      <c r="F248" s="2" t="s">
        <v>1044</v>
      </c>
    </row>
    <row r="249" spans="5:12" ht="22.5" customHeight="1">
      <c r="E249" s="2" t="s">
        <v>1045</v>
      </c>
      <c r="F249" s="2" t="s">
        <v>1045</v>
      </c>
    </row>
    <row r="250" spans="5:12" ht="22.5" customHeight="1">
      <c r="E250" s="2" t="s">
        <v>1046</v>
      </c>
      <c r="F250" s="2" t="s">
        <v>1046</v>
      </c>
    </row>
    <row r="251" spans="5:12" ht="22.5" customHeight="1">
      <c r="E251" s="2" t="s">
        <v>766</v>
      </c>
      <c r="F251" s="2" t="s">
        <v>658</v>
      </c>
    </row>
    <row r="252" spans="5:12" ht="22.5" customHeight="1">
      <c r="E252" s="2" t="s">
        <v>767</v>
      </c>
      <c r="F252" s="2" t="s">
        <v>659</v>
      </c>
    </row>
    <row r="253" spans="5:12" ht="22.5" customHeight="1">
      <c r="E253" s="2" t="s">
        <v>1047</v>
      </c>
      <c r="F253" s="2" t="s">
        <v>1047</v>
      </c>
    </row>
    <row r="254" spans="5:12" ht="22.5" customHeight="1">
      <c r="E254" s="2" t="s">
        <v>1048</v>
      </c>
      <c r="F254" s="2" t="s">
        <v>1048</v>
      </c>
    </row>
    <row r="255" spans="5:12" ht="22.5" customHeight="1">
      <c r="E255" s="2" t="s">
        <v>1049</v>
      </c>
      <c r="F255" s="2" t="s">
        <v>1049</v>
      </c>
    </row>
    <row r="256" spans="5:12" ht="22.5" customHeight="1">
      <c r="E256" s="2" t="s">
        <v>1050</v>
      </c>
      <c r="F256" s="2" t="s">
        <v>1050</v>
      </c>
    </row>
    <row r="257" spans="5:6" ht="22.5" customHeight="1">
      <c r="E257" s="2" t="s">
        <v>1051</v>
      </c>
      <c r="F257" s="2" t="s">
        <v>1051</v>
      </c>
    </row>
    <row r="258" spans="5:6" ht="22.5" customHeight="1">
      <c r="E258" s="2" t="s">
        <v>660</v>
      </c>
      <c r="F258" s="2" t="s">
        <v>660</v>
      </c>
    </row>
    <row r="259" spans="5:6" ht="22.5" customHeight="1">
      <c r="E259" s="2" t="s">
        <v>1052</v>
      </c>
      <c r="F259" s="2" t="s">
        <v>1052</v>
      </c>
    </row>
    <row r="260" spans="5:6" ht="22.5" customHeight="1">
      <c r="E260" s="2" t="s">
        <v>768</v>
      </c>
      <c r="F260" s="2" t="s">
        <v>661</v>
      </c>
    </row>
    <row r="261" spans="5:6" ht="22.5" customHeight="1">
      <c r="E261" s="2" t="s">
        <v>1053</v>
      </c>
      <c r="F261" s="2" t="s">
        <v>1054</v>
      </c>
    </row>
    <row r="262" spans="5:6" ht="22.5" customHeight="1">
      <c r="E262" s="2" t="s">
        <v>1055</v>
      </c>
      <c r="F262" s="2" t="s">
        <v>1055</v>
      </c>
    </row>
    <row r="263" spans="5:6" ht="22.5" customHeight="1">
      <c r="E263" s="2" t="s">
        <v>1056</v>
      </c>
      <c r="F263" s="2" t="s">
        <v>1056</v>
      </c>
    </row>
    <row r="264" spans="5:6" ht="22.5" customHeight="1">
      <c r="E264" s="2" t="s">
        <v>769</v>
      </c>
      <c r="F264" s="2" t="s">
        <v>662</v>
      </c>
    </row>
    <row r="265" spans="5:6" ht="22.5" customHeight="1">
      <c r="E265" s="2" t="s">
        <v>663</v>
      </c>
      <c r="F265" s="2" t="s">
        <v>663</v>
      </c>
    </row>
    <row r="266" spans="5:6" ht="22.5" customHeight="1">
      <c r="E266" s="2" t="s">
        <v>1057</v>
      </c>
      <c r="F266" s="2" t="s">
        <v>1057</v>
      </c>
    </row>
    <row r="267" spans="5:6" ht="22.5" customHeight="1">
      <c r="E267" s="2" t="s">
        <v>1058</v>
      </c>
      <c r="F267" s="2" t="s">
        <v>1058</v>
      </c>
    </row>
    <row r="268" spans="5:6" ht="22.5" customHeight="1">
      <c r="E268" s="2" t="s">
        <v>1059</v>
      </c>
      <c r="F268" s="2" t="s">
        <v>1059</v>
      </c>
    </row>
    <row r="269" spans="5:6" ht="22.5" customHeight="1">
      <c r="E269" s="2" t="s">
        <v>1060</v>
      </c>
      <c r="F269" s="2" t="s">
        <v>1060</v>
      </c>
    </row>
    <row r="270" spans="5:6" ht="22.5" customHeight="1">
      <c r="E270" s="2" t="s">
        <v>770</v>
      </c>
      <c r="F270" s="2" t="s">
        <v>344</v>
      </c>
    </row>
    <row r="271" spans="5:6" ht="22.5" customHeight="1">
      <c r="E271" s="2" t="s">
        <v>1061</v>
      </c>
      <c r="F271" s="2" t="s">
        <v>1062</v>
      </c>
    </row>
    <row r="272" spans="5:6" ht="22.5" customHeight="1">
      <c r="E272" s="2" t="s">
        <v>472</v>
      </c>
      <c r="F272" s="2" t="s">
        <v>473</v>
      </c>
    </row>
    <row r="273" spans="5:6" ht="22.5" customHeight="1">
      <c r="E273" s="2" t="s">
        <v>771</v>
      </c>
      <c r="F273" s="2" t="s">
        <v>664</v>
      </c>
    </row>
    <row r="274" spans="5:6" ht="22.5" customHeight="1">
      <c r="E274" s="2" t="s">
        <v>1063</v>
      </c>
      <c r="F274" s="2" t="s">
        <v>1063</v>
      </c>
    </row>
    <row r="275" spans="5:6" ht="22.5" customHeight="1">
      <c r="E275" s="2" t="s">
        <v>1064</v>
      </c>
      <c r="F275" s="2" t="s">
        <v>1065</v>
      </c>
    </row>
    <row r="276" spans="5:6" ht="22.5" customHeight="1">
      <c r="E276" s="2" t="s">
        <v>1066</v>
      </c>
      <c r="F276" s="2" t="s">
        <v>1067</v>
      </c>
    </row>
    <row r="277" spans="5:6" ht="22.5" customHeight="1">
      <c r="E277" s="2" t="s">
        <v>1068</v>
      </c>
      <c r="F277" s="2" t="s">
        <v>1068</v>
      </c>
    </row>
    <row r="278" spans="5:6" ht="22.5" customHeight="1">
      <c r="E278" s="2" t="s">
        <v>1069</v>
      </c>
      <c r="F278" s="2" t="s">
        <v>1069</v>
      </c>
    </row>
    <row r="279" spans="5:6" ht="22.5" customHeight="1">
      <c r="E279" s="2" t="s">
        <v>1070</v>
      </c>
      <c r="F279" s="2" t="s">
        <v>1071</v>
      </c>
    </row>
    <row r="280" spans="5:6" ht="22.5" customHeight="1">
      <c r="E280" s="2" t="s">
        <v>1072</v>
      </c>
      <c r="F280" s="2" t="s">
        <v>1072</v>
      </c>
    </row>
    <row r="281" spans="5:6" ht="22.5" customHeight="1">
      <c r="E281" s="2" t="s">
        <v>474</v>
      </c>
      <c r="F281" s="2" t="s">
        <v>475</v>
      </c>
    </row>
    <row r="282" spans="5:6" ht="22.5" customHeight="1">
      <c r="E282" s="2" t="s">
        <v>1073</v>
      </c>
      <c r="F282" s="2" t="s">
        <v>1073</v>
      </c>
    </row>
    <row r="283" spans="5:6" ht="22.5" customHeight="1">
      <c r="E283" s="2" t="s">
        <v>1074</v>
      </c>
      <c r="F283" s="2" t="s">
        <v>1075</v>
      </c>
    </row>
    <row r="284" spans="5:6" ht="22.5" customHeight="1">
      <c r="E284" s="2" t="s">
        <v>1076</v>
      </c>
      <c r="F284" s="2" t="s">
        <v>1076</v>
      </c>
    </row>
    <row r="285" spans="5:6" ht="22.5" customHeight="1">
      <c r="E285" s="2" t="s">
        <v>1077</v>
      </c>
      <c r="F285" s="2" t="s">
        <v>1077</v>
      </c>
    </row>
    <row r="286" spans="5:6" ht="22.5" customHeight="1">
      <c r="E286" s="2" t="s">
        <v>772</v>
      </c>
      <c r="F286" s="2" t="s">
        <v>665</v>
      </c>
    </row>
    <row r="287" spans="5:6" ht="22.5" customHeight="1">
      <c r="E287" s="2" t="s">
        <v>1078</v>
      </c>
      <c r="F287" s="2" t="s">
        <v>1078</v>
      </c>
    </row>
    <row r="288" spans="5:6" ht="22.5" customHeight="1">
      <c r="E288" s="2" t="s">
        <v>1079</v>
      </c>
      <c r="F288" s="2" t="s">
        <v>1079</v>
      </c>
    </row>
    <row r="289" spans="5:6" ht="22.5" customHeight="1">
      <c r="E289" s="2" t="s">
        <v>1080</v>
      </c>
      <c r="F289" s="2" t="s">
        <v>1081</v>
      </c>
    </row>
    <row r="290" spans="5:6" ht="22.5" customHeight="1">
      <c r="E290" s="2" t="s">
        <v>1082</v>
      </c>
      <c r="F290" s="2" t="s">
        <v>1082</v>
      </c>
    </row>
    <row r="291" spans="5:6" ht="22.5" customHeight="1">
      <c r="E291" s="2" t="s">
        <v>1083</v>
      </c>
      <c r="F291" s="2" t="s">
        <v>1083</v>
      </c>
    </row>
    <row r="292" spans="5:6" ht="22.5" customHeight="1">
      <c r="E292" s="2" t="s">
        <v>1084</v>
      </c>
      <c r="F292" s="2" t="s">
        <v>1084</v>
      </c>
    </row>
    <row r="293" spans="5:6" ht="22.5" customHeight="1">
      <c r="E293" s="2" t="s">
        <v>773</v>
      </c>
      <c r="F293" s="2" t="s">
        <v>666</v>
      </c>
    </row>
    <row r="294" spans="5:6" ht="22.5" customHeight="1">
      <c r="E294" s="2" t="s">
        <v>1085</v>
      </c>
      <c r="F294" s="2" t="s">
        <v>1085</v>
      </c>
    </row>
    <row r="295" spans="5:6" ht="22.5" customHeight="1">
      <c r="E295" s="2" t="s">
        <v>1086</v>
      </c>
      <c r="F295" s="2" t="s">
        <v>1086</v>
      </c>
    </row>
    <row r="296" spans="5:6" ht="22.5" customHeight="1">
      <c r="E296" s="2" t="s">
        <v>774</v>
      </c>
      <c r="F296" s="2" t="s">
        <v>667</v>
      </c>
    </row>
    <row r="297" spans="5:6" ht="22.5" customHeight="1">
      <c r="E297" s="2" t="s">
        <v>775</v>
      </c>
      <c r="F297" s="2" t="s">
        <v>668</v>
      </c>
    </row>
    <row r="298" spans="5:6" ht="22.5" customHeight="1">
      <c r="E298" s="2" t="s">
        <v>1087</v>
      </c>
      <c r="F298" s="2" t="s">
        <v>1087</v>
      </c>
    </row>
    <row r="299" spans="5:6" ht="22.5" customHeight="1">
      <c r="E299" s="2" t="s">
        <v>1088</v>
      </c>
      <c r="F299" s="2" t="s">
        <v>1088</v>
      </c>
    </row>
    <row r="300" spans="5:6" ht="22.5" customHeight="1">
      <c r="E300" s="2" t="s">
        <v>1089</v>
      </c>
      <c r="F300" s="2" t="s">
        <v>1089</v>
      </c>
    </row>
    <row r="301" spans="5:6" ht="22.5" customHeight="1">
      <c r="E301" s="2" t="s">
        <v>1090</v>
      </c>
      <c r="F301" s="2" t="s">
        <v>1090</v>
      </c>
    </row>
    <row r="302" spans="5:6" ht="22.5" customHeight="1">
      <c r="E302" s="2" t="s">
        <v>1091</v>
      </c>
      <c r="F302" s="2" t="s">
        <v>1091</v>
      </c>
    </row>
    <row r="303" spans="5:6" ht="22.5" customHeight="1">
      <c r="E303" s="2" t="s">
        <v>669</v>
      </c>
      <c r="F303" s="2" t="s">
        <v>669</v>
      </c>
    </row>
    <row r="304" spans="5:6" ht="22.5" customHeight="1">
      <c r="E304" s="2" t="s">
        <v>1092</v>
      </c>
      <c r="F304" s="2" t="s">
        <v>1092</v>
      </c>
    </row>
    <row r="305" spans="5:6" ht="22.5" customHeight="1">
      <c r="E305" s="2" t="s">
        <v>1093</v>
      </c>
      <c r="F305" s="2" t="s">
        <v>1093</v>
      </c>
    </row>
    <row r="306" spans="5:6" ht="22.5" customHeight="1">
      <c r="E306" s="2" t="s">
        <v>670</v>
      </c>
      <c r="F306" s="2" t="s">
        <v>670</v>
      </c>
    </row>
    <row r="307" spans="5:6" ht="22.5" customHeight="1">
      <c r="E307" s="2" t="s">
        <v>1094</v>
      </c>
      <c r="F307" s="2" t="s">
        <v>1094</v>
      </c>
    </row>
    <row r="308" spans="5:6" ht="22.5" customHeight="1">
      <c r="E308" s="2" t="s">
        <v>1095</v>
      </c>
      <c r="F308" s="2" t="s">
        <v>1095</v>
      </c>
    </row>
    <row r="309" spans="5:6" ht="22.5" customHeight="1">
      <c r="E309" s="2" t="s">
        <v>1096</v>
      </c>
      <c r="F309" s="2" t="s">
        <v>1096</v>
      </c>
    </row>
    <row r="310" spans="5:6" ht="22.5" customHeight="1">
      <c r="E310" s="2" t="s">
        <v>1097</v>
      </c>
      <c r="F310" s="2" t="s">
        <v>1097</v>
      </c>
    </row>
    <row r="311" spans="5:6" ht="22.5" customHeight="1">
      <c r="E311" s="2" t="s">
        <v>1098</v>
      </c>
      <c r="F311" s="2" t="s">
        <v>1098</v>
      </c>
    </row>
    <row r="312" spans="5:6" ht="22.5" customHeight="1">
      <c r="E312" s="2" t="s">
        <v>1099</v>
      </c>
      <c r="F312" s="2" t="s">
        <v>1099</v>
      </c>
    </row>
    <row r="313" spans="5:6" ht="22.5" customHeight="1">
      <c r="E313" s="2" t="s">
        <v>1100</v>
      </c>
      <c r="F313" s="2" t="s">
        <v>1100</v>
      </c>
    </row>
    <row r="314" spans="5:6" ht="22.5" customHeight="1">
      <c r="E314" s="2" t="s">
        <v>1101</v>
      </c>
      <c r="F314" s="2" t="s">
        <v>1101</v>
      </c>
    </row>
    <row r="315" spans="5:6" ht="22.5" customHeight="1">
      <c r="E315" s="2" t="s">
        <v>1102</v>
      </c>
      <c r="F315" s="2" t="s">
        <v>1102</v>
      </c>
    </row>
    <row r="316" spans="5:6" ht="22.5" customHeight="1">
      <c r="E316" s="2" t="s">
        <v>1103</v>
      </c>
      <c r="F316" s="2" t="s">
        <v>1103</v>
      </c>
    </row>
    <row r="317" spans="5:6" ht="22.5" customHeight="1">
      <c r="E317" s="2" t="s">
        <v>1104</v>
      </c>
      <c r="F317" s="2" t="s">
        <v>1104</v>
      </c>
    </row>
    <row r="318" spans="5:6" ht="22.5" customHeight="1">
      <c r="E318" s="2" t="s">
        <v>1105</v>
      </c>
      <c r="F318" s="2" t="s">
        <v>1105</v>
      </c>
    </row>
    <row r="319" spans="5:6" ht="22.5" customHeight="1">
      <c r="E319" s="2" t="s">
        <v>1106</v>
      </c>
      <c r="F319" s="2" t="s">
        <v>1106</v>
      </c>
    </row>
    <row r="320" spans="5:6" ht="22.5" customHeight="1">
      <c r="E320" s="2" t="s">
        <v>1107</v>
      </c>
      <c r="F320" s="2" t="s">
        <v>1107</v>
      </c>
    </row>
    <row r="321" spans="5:6" ht="22.5" customHeight="1">
      <c r="E321" s="2" t="s">
        <v>1108</v>
      </c>
      <c r="F321" s="2" t="s">
        <v>1108</v>
      </c>
    </row>
    <row r="322" spans="5:6" ht="22.5" customHeight="1">
      <c r="E322" s="2" t="s">
        <v>671</v>
      </c>
      <c r="F322" s="2" t="s">
        <v>671</v>
      </c>
    </row>
    <row r="323" spans="5:6" ht="22.5" customHeight="1">
      <c r="E323" s="2" t="s">
        <v>1109</v>
      </c>
      <c r="F323" s="2" t="s">
        <v>1109</v>
      </c>
    </row>
    <row r="324" spans="5:6" ht="22.5" customHeight="1">
      <c r="E324" s="2" t="s">
        <v>1110</v>
      </c>
      <c r="F324" s="2" t="s">
        <v>1110</v>
      </c>
    </row>
    <row r="325" spans="5:6" ht="22.5" customHeight="1">
      <c r="E325" s="2" t="s">
        <v>1111</v>
      </c>
      <c r="F325" s="2" t="s">
        <v>1111</v>
      </c>
    </row>
    <row r="326" spans="5:6" ht="22.5" customHeight="1">
      <c r="E326" s="2" t="s">
        <v>1112</v>
      </c>
      <c r="F326" s="2" t="s">
        <v>1112</v>
      </c>
    </row>
    <row r="327" spans="5:6" ht="22.5" customHeight="1">
      <c r="E327" s="2" t="s">
        <v>1113</v>
      </c>
      <c r="F327" s="2" t="s">
        <v>1113</v>
      </c>
    </row>
    <row r="328" spans="5:6" ht="22.5" customHeight="1">
      <c r="E328" s="2" t="s">
        <v>314</v>
      </c>
      <c r="F328" s="2" t="s">
        <v>315</v>
      </c>
    </row>
    <row r="329" spans="5:6" ht="22.5" customHeight="1">
      <c r="E329" s="2" t="s">
        <v>1114</v>
      </c>
      <c r="F329" s="2" t="s">
        <v>1115</v>
      </c>
    </row>
    <row r="330" spans="5:6" ht="22.5" customHeight="1">
      <c r="E330" s="2" t="s">
        <v>672</v>
      </c>
      <c r="F330" s="2" t="s">
        <v>672</v>
      </c>
    </row>
    <row r="331" spans="5:6" ht="22.5" customHeight="1">
      <c r="E331" s="2" t="s">
        <v>1116</v>
      </c>
      <c r="F331" s="2" t="s">
        <v>1116</v>
      </c>
    </row>
    <row r="332" spans="5:6" ht="22.5" customHeight="1">
      <c r="E332" s="2" t="s">
        <v>776</v>
      </c>
      <c r="F332" s="2" t="s">
        <v>673</v>
      </c>
    </row>
    <row r="333" spans="5:6" ht="22.5" customHeight="1">
      <c r="E333" s="2" t="s">
        <v>777</v>
      </c>
      <c r="F333" s="2" t="s">
        <v>674</v>
      </c>
    </row>
    <row r="334" spans="5:6" ht="22.5" customHeight="1">
      <c r="E334" s="2" t="s">
        <v>1117</v>
      </c>
      <c r="F334" s="2" t="s">
        <v>1117</v>
      </c>
    </row>
    <row r="335" spans="5:6" ht="22.5" customHeight="1">
      <c r="E335" s="2" t="s">
        <v>778</v>
      </c>
      <c r="F335" s="2" t="s">
        <v>675</v>
      </c>
    </row>
    <row r="336" spans="5:6" ht="22.5" customHeight="1">
      <c r="E336" s="2" t="s">
        <v>1118</v>
      </c>
      <c r="F336" s="2" t="s">
        <v>1118</v>
      </c>
    </row>
    <row r="337" spans="5:6" ht="22.5" customHeight="1">
      <c r="E337" s="2" t="s">
        <v>1119</v>
      </c>
      <c r="F337" s="2" t="s">
        <v>1119</v>
      </c>
    </row>
    <row r="338" spans="5:6" ht="22.5" customHeight="1">
      <c r="E338" s="2" t="s">
        <v>779</v>
      </c>
      <c r="F338" s="2" t="s">
        <v>345</v>
      </c>
    </row>
    <row r="339" spans="5:6" ht="22.5" customHeight="1">
      <c r="E339" s="2" t="s">
        <v>780</v>
      </c>
      <c r="F339" s="2" t="s">
        <v>676</v>
      </c>
    </row>
    <row r="340" spans="5:6" ht="22.5" customHeight="1">
      <c r="E340" s="2" t="s">
        <v>1120</v>
      </c>
      <c r="F340" s="2" t="s">
        <v>1120</v>
      </c>
    </row>
    <row r="341" spans="5:6" ht="22.5" customHeight="1">
      <c r="E341" s="2" t="s">
        <v>781</v>
      </c>
      <c r="F341" s="2" t="s">
        <v>677</v>
      </c>
    </row>
    <row r="342" spans="5:6" ht="22.5" customHeight="1">
      <c r="E342" s="2" t="s">
        <v>1121</v>
      </c>
      <c r="F342" s="2" t="s">
        <v>1121</v>
      </c>
    </row>
    <row r="343" spans="5:6" ht="22.5" customHeight="1">
      <c r="E343" s="2" t="s">
        <v>318</v>
      </c>
      <c r="F343" s="2" t="s">
        <v>319</v>
      </c>
    </row>
    <row r="344" spans="5:6" ht="22.5" customHeight="1">
      <c r="E344" s="2" t="s">
        <v>1122</v>
      </c>
      <c r="F344" s="2" t="s">
        <v>1122</v>
      </c>
    </row>
    <row r="345" spans="5:6" ht="22.5" customHeight="1">
      <c r="E345" s="2" t="s">
        <v>678</v>
      </c>
      <c r="F345" s="2" t="s">
        <v>678</v>
      </c>
    </row>
    <row r="346" spans="5:6" ht="22.5" customHeight="1">
      <c r="E346" s="2" t="s">
        <v>1123</v>
      </c>
      <c r="F346" s="2" t="s">
        <v>1123</v>
      </c>
    </row>
    <row r="347" spans="5:6" ht="22.5" customHeight="1">
      <c r="E347" s="2" t="s">
        <v>679</v>
      </c>
      <c r="F347" s="2" t="s">
        <v>679</v>
      </c>
    </row>
    <row r="348" spans="5:6" ht="22.5" customHeight="1">
      <c r="E348" s="2" t="s">
        <v>1124</v>
      </c>
      <c r="F348" s="2" t="s">
        <v>1124</v>
      </c>
    </row>
    <row r="349" spans="5:6" ht="22.5" customHeight="1">
      <c r="E349" s="2" t="s">
        <v>680</v>
      </c>
      <c r="F349" s="2" t="s">
        <v>680</v>
      </c>
    </row>
    <row r="350" spans="5:6" ht="22.5" customHeight="1">
      <c r="E350" s="2" t="s">
        <v>1125</v>
      </c>
      <c r="F350" s="2" t="s">
        <v>1125</v>
      </c>
    </row>
    <row r="351" spans="5:6" ht="22.5" customHeight="1">
      <c r="E351" s="2" t="s">
        <v>1126</v>
      </c>
      <c r="F351" s="2" t="s">
        <v>1126</v>
      </c>
    </row>
    <row r="352" spans="5:6" ht="22.5" customHeight="1">
      <c r="E352" s="2" t="s">
        <v>1127</v>
      </c>
      <c r="F352" s="2" t="s">
        <v>1128</v>
      </c>
    </row>
    <row r="353" spans="5:6" ht="22.5" customHeight="1">
      <c r="E353" s="2" t="s">
        <v>681</v>
      </c>
      <c r="F353" s="2" t="s">
        <v>681</v>
      </c>
    </row>
    <row r="354" spans="5:6" ht="22.5" customHeight="1">
      <c r="E354" s="2" t="s">
        <v>682</v>
      </c>
      <c r="F354" s="2" t="s">
        <v>682</v>
      </c>
    </row>
    <row r="355" spans="5:6" ht="22.5" customHeight="1">
      <c r="E355" s="2" t="s">
        <v>683</v>
      </c>
      <c r="F355" s="2" t="s">
        <v>683</v>
      </c>
    </row>
    <row r="356" spans="5:6" ht="22.5" customHeight="1">
      <c r="E356" s="2" t="s">
        <v>1129</v>
      </c>
      <c r="F356" s="2" t="s">
        <v>1129</v>
      </c>
    </row>
    <row r="357" spans="5:6" ht="22.5" customHeight="1">
      <c r="E357" s="2" t="s">
        <v>1130</v>
      </c>
      <c r="F357" s="2" t="s">
        <v>1130</v>
      </c>
    </row>
    <row r="358" spans="5:6" ht="22.5" customHeight="1">
      <c r="E358" s="2" t="s">
        <v>1131</v>
      </c>
      <c r="F358" s="2" t="s">
        <v>1131</v>
      </c>
    </row>
    <row r="359" spans="5:6" ht="22.5" customHeight="1">
      <c r="E359" s="2" t="s">
        <v>1132</v>
      </c>
      <c r="F359" s="2" t="s">
        <v>1132</v>
      </c>
    </row>
    <row r="360" spans="5:6" ht="22.5" customHeight="1">
      <c r="E360" s="2" t="s">
        <v>1133</v>
      </c>
      <c r="F360" s="2" t="s">
        <v>1133</v>
      </c>
    </row>
    <row r="361" spans="5:6" ht="22.5" customHeight="1">
      <c r="E361" s="2" t="s">
        <v>1134</v>
      </c>
      <c r="F361" s="2" t="s">
        <v>1134</v>
      </c>
    </row>
    <row r="362" spans="5:6" ht="22.5" customHeight="1">
      <c r="E362" s="2" t="s">
        <v>1135</v>
      </c>
      <c r="F362" s="2" t="s">
        <v>1135</v>
      </c>
    </row>
    <row r="363" spans="5:6" ht="22.5" customHeight="1">
      <c r="E363" s="2" t="s">
        <v>1136</v>
      </c>
      <c r="F363" s="2" t="s">
        <v>1136</v>
      </c>
    </row>
    <row r="364" spans="5:6" ht="22.5" customHeight="1">
      <c r="E364" s="2" t="s">
        <v>782</v>
      </c>
      <c r="F364" s="2" t="s">
        <v>477</v>
      </c>
    </row>
    <row r="365" spans="5:6" ht="22.5" customHeight="1">
      <c r="E365" s="2" t="s">
        <v>684</v>
      </c>
      <c r="F365" s="2" t="s">
        <v>684</v>
      </c>
    </row>
    <row r="366" spans="5:6" ht="22.5" customHeight="1">
      <c r="E366" s="2" t="s">
        <v>685</v>
      </c>
      <c r="F366" s="2" t="s">
        <v>685</v>
      </c>
    </row>
    <row r="367" spans="5:6" ht="22.5" customHeight="1">
      <c r="E367" s="2" t="s">
        <v>1137</v>
      </c>
      <c r="F367" s="2" t="s">
        <v>1137</v>
      </c>
    </row>
    <row r="368" spans="5:6" ht="22.5" customHeight="1">
      <c r="E368" s="2" t="s">
        <v>783</v>
      </c>
      <c r="F368" s="2" t="s">
        <v>686</v>
      </c>
    </row>
    <row r="369" spans="5:6" ht="22.5" customHeight="1">
      <c r="E369" s="2" t="s">
        <v>1138</v>
      </c>
      <c r="F369" s="2" t="s">
        <v>1138</v>
      </c>
    </row>
    <row r="370" spans="5:6" ht="22.5" customHeight="1">
      <c r="E370" s="2" t="s">
        <v>1139</v>
      </c>
      <c r="F370" s="2" t="s">
        <v>1139</v>
      </c>
    </row>
    <row r="371" spans="5:6" ht="22.5" customHeight="1">
      <c r="E371" s="2" t="s">
        <v>1140</v>
      </c>
      <c r="F371" s="2" t="s">
        <v>1140</v>
      </c>
    </row>
    <row r="372" spans="5:6" ht="22.5" customHeight="1">
      <c r="E372" s="2" t="s">
        <v>784</v>
      </c>
      <c r="F372" s="2" t="s">
        <v>687</v>
      </c>
    </row>
    <row r="373" spans="5:6" ht="22.5" customHeight="1">
      <c r="E373" s="2" t="s">
        <v>688</v>
      </c>
      <c r="F373" s="2" t="s">
        <v>688</v>
      </c>
    </row>
    <row r="374" spans="5:6" ht="22.5" customHeight="1">
      <c r="E374" s="2" t="s">
        <v>1141</v>
      </c>
      <c r="F374" s="2" t="s">
        <v>1141</v>
      </c>
    </row>
    <row r="375" spans="5:6" ht="22.5" customHeight="1">
      <c r="E375" s="2" t="s">
        <v>1142</v>
      </c>
      <c r="F375" s="2" t="s">
        <v>1142</v>
      </c>
    </row>
    <row r="376" spans="5:6" ht="22.5" customHeight="1">
      <c r="E376" s="2" t="s">
        <v>1143</v>
      </c>
      <c r="F376" s="2" t="s">
        <v>1143</v>
      </c>
    </row>
    <row r="377" spans="5:6" ht="22.5" customHeight="1">
      <c r="E377" s="2" t="s">
        <v>1144</v>
      </c>
      <c r="F377" s="2" t="s">
        <v>1144</v>
      </c>
    </row>
    <row r="378" spans="5:6" ht="22.5" customHeight="1">
      <c r="E378" s="2" t="s">
        <v>1145</v>
      </c>
      <c r="F378" s="2" t="s">
        <v>1145</v>
      </c>
    </row>
    <row r="379" spans="5:6" ht="22.5" customHeight="1">
      <c r="E379" s="2" t="s">
        <v>785</v>
      </c>
      <c r="F379" s="2" t="s">
        <v>689</v>
      </c>
    </row>
    <row r="380" spans="5:6" ht="22.5" customHeight="1">
      <c r="E380" s="2" t="s">
        <v>786</v>
      </c>
      <c r="F380" s="2" t="s">
        <v>690</v>
      </c>
    </row>
    <row r="381" spans="5:6" ht="22.5" customHeight="1">
      <c r="E381" s="2" t="s">
        <v>1146</v>
      </c>
      <c r="F381" s="2" t="s">
        <v>1147</v>
      </c>
    </row>
    <row r="382" spans="5:6" ht="22.5" customHeight="1">
      <c r="E382" s="2" t="s">
        <v>787</v>
      </c>
      <c r="F382" s="2" t="s">
        <v>691</v>
      </c>
    </row>
    <row r="383" spans="5:6" ht="22.5" customHeight="1">
      <c r="E383" s="2" t="s">
        <v>1148</v>
      </c>
      <c r="F383" s="2" t="s">
        <v>1148</v>
      </c>
    </row>
    <row r="384" spans="5:6" ht="22.5" customHeight="1">
      <c r="E384" s="2" t="s">
        <v>788</v>
      </c>
      <c r="F384" s="2" t="s">
        <v>692</v>
      </c>
    </row>
    <row r="385" spans="5:6" ht="22.5" customHeight="1">
      <c r="E385" s="2" t="s">
        <v>789</v>
      </c>
      <c r="F385" s="2" t="s">
        <v>693</v>
      </c>
    </row>
    <row r="386" spans="5:6" ht="22.5" customHeight="1">
      <c r="E386" s="2" t="s">
        <v>1149</v>
      </c>
      <c r="F386" s="2" t="s">
        <v>1149</v>
      </c>
    </row>
    <row r="387" spans="5:6" ht="22.5" customHeight="1">
      <c r="E387" s="2" t="s">
        <v>1150</v>
      </c>
      <c r="F387" s="2" t="s">
        <v>1150</v>
      </c>
    </row>
    <row r="388" spans="5:6" ht="22.5" customHeight="1">
      <c r="E388" s="2" t="s">
        <v>1151</v>
      </c>
      <c r="F388" s="2" t="s">
        <v>1151</v>
      </c>
    </row>
    <row r="389" spans="5:6" ht="22.5" customHeight="1">
      <c r="E389" s="2" t="s">
        <v>1152</v>
      </c>
      <c r="F389" s="2" t="s">
        <v>1152</v>
      </c>
    </row>
    <row r="390" spans="5:6" ht="22.5" customHeight="1">
      <c r="E390" s="2" t="s">
        <v>1153</v>
      </c>
      <c r="F390" s="2" t="s">
        <v>1153</v>
      </c>
    </row>
    <row r="391" spans="5:6" ht="22.5" customHeight="1">
      <c r="E391" s="2" t="s">
        <v>1154</v>
      </c>
      <c r="F391" s="2" t="s">
        <v>1154</v>
      </c>
    </row>
    <row r="392" spans="5:6" ht="22.5" customHeight="1">
      <c r="E392" s="2" t="s">
        <v>790</v>
      </c>
      <c r="F392" s="2" t="s">
        <v>694</v>
      </c>
    </row>
    <row r="393" spans="5:6" ht="22.5" customHeight="1">
      <c r="E393" s="2" t="s">
        <v>1155</v>
      </c>
      <c r="F393" s="2" t="s">
        <v>1156</v>
      </c>
    </row>
    <row r="394" spans="5:6" ht="22.5" customHeight="1">
      <c r="E394" s="2" t="s">
        <v>1157</v>
      </c>
      <c r="F394" s="2" t="s">
        <v>1157</v>
      </c>
    </row>
    <row r="395" spans="5:6" ht="22.5" customHeight="1">
      <c r="E395" s="2" t="s">
        <v>1158</v>
      </c>
      <c r="F395" s="2" t="s">
        <v>1158</v>
      </c>
    </row>
    <row r="396" spans="5:6" ht="22.5" customHeight="1">
      <c r="E396" s="2" t="s">
        <v>791</v>
      </c>
      <c r="F396" s="2" t="s">
        <v>695</v>
      </c>
    </row>
    <row r="397" spans="5:6" ht="22.5" customHeight="1">
      <c r="E397" s="2" t="s">
        <v>1159</v>
      </c>
      <c r="F397" s="2" t="s">
        <v>1159</v>
      </c>
    </row>
    <row r="398" spans="5:6" ht="22.5" customHeight="1">
      <c r="E398" s="2" t="s">
        <v>333</v>
      </c>
      <c r="F398" s="2" t="s">
        <v>334</v>
      </c>
    </row>
    <row r="399" spans="5:6" ht="22.5" customHeight="1">
      <c r="E399" s="2" t="s">
        <v>335</v>
      </c>
      <c r="F399" s="2" t="s">
        <v>336</v>
      </c>
    </row>
    <row r="400" spans="5:6" ht="22.5" customHeight="1">
      <c r="E400" s="2" t="s">
        <v>343</v>
      </c>
      <c r="F400" s="2" t="s">
        <v>696</v>
      </c>
    </row>
    <row r="401" spans="5:6" ht="22.5" customHeight="1">
      <c r="E401" s="2" t="s">
        <v>1160</v>
      </c>
      <c r="F401" s="2" t="s">
        <v>1160</v>
      </c>
    </row>
    <row r="402" spans="5:6" ht="22.5" customHeight="1">
      <c r="E402" s="2" t="s">
        <v>792</v>
      </c>
      <c r="F402" s="2" t="s">
        <v>697</v>
      </c>
    </row>
    <row r="403" spans="5:6" ht="22.5" customHeight="1">
      <c r="E403" s="2" t="s">
        <v>793</v>
      </c>
      <c r="F403" s="2" t="s">
        <v>698</v>
      </c>
    </row>
    <row r="404" spans="5:6" ht="22.5" customHeight="1">
      <c r="E404" s="2" t="s">
        <v>1161</v>
      </c>
      <c r="F404" s="2" t="s">
        <v>1161</v>
      </c>
    </row>
    <row r="405" spans="5:6" ht="22.5" customHeight="1">
      <c r="E405" s="2" t="s">
        <v>699</v>
      </c>
      <c r="F405" s="2" t="s">
        <v>699</v>
      </c>
    </row>
    <row r="406" spans="5:6" ht="22.5" customHeight="1">
      <c r="E406" s="2" t="s">
        <v>1162</v>
      </c>
      <c r="F406" s="2" t="s">
        <v>1162</v>
      </c>
    </row>
    <row r="407" spans="5:6" ht="22.5" customHeight="1">
      <c r="E407" s="2" t="s">
        <v>1163</v>
      </c>
      <c r="F407" s="2" t="s">
        <v>1164</v>
      </c>
    </row>
    <row r="408" spans="5:6" ht="22.5" customHeight="1">
      <c r="E408" s="2" t="s">
        <v>1165</v>
      </c>
      <c r="F408" s="2" t="s">
        <v>1165</v>
      </c>
    </row>
    <row r="409" spans="5:6" ht="22.5" customHeight="1">
      <c r="E409" s="2" t="s">
        <v>1166</v>
      </c>
      <c r="F409" s="2" t="s">
        <v>1166</v>
      </c>
    </row>
    <row r="410" spans="5:6" ht="22.5" customHeight="1">
      <c r="E410" s="2" t="s">
        <v>1167</v>
      </c>
      <c r="F410" s="2" t="s">
        <v>1167</v>
      </c>
    </row>
    <row r="411" spans="5:6" ht="22.5" customHeight="1">
      <c r="E411" s="2" t="s">
        <v>794</v>
      </c>
      <c r="F411" s="2" t="s">
        <v>700</v>
      </c>
    </row>
    <row r="412" spans="5:6" ht="22.5" customHeight="1">
      <c r="E412" s="2" t="s">
        <v>1168</v>
      </c>
      <c r="F412" s="2" t="s">
        <v>1168</v>
      </c>
    </row>
    <row r="413" spans="5:6" ht="22.5" customHeight="1">
      <c r="E413" s="2" t="s">
        <v>795</v>
      </c>
      <c r="F413" s="2" t="s">
        <v>701</v>
      </c>
    </row>
    <row r="414" spans="5:6" ht="22.5" customHeight="1">
      <c r="E414" s="2" t="s">
        <v>1169</v>
      </c>
      <c r="F414" s="2" t="s">
        <v>1170</v>
      </c>
    </row>
    <row r="415" spans="5:6" ht="22.5" customHeight="1">
      <c r="E415" s="2" t="s">
        <v>1171</v>
      </c>
      <c r="F415" s="2" t="s">
        <v>1171</v>
      </c>
    </row>
    <row r="416" spans="5:6" ht="22.5" customHeight="1">
      <c r="E416" s="2" t="s">
        <v>1172</v>
      </c>
      <c r="F416" s="2" t="s">
        <v>1172</v>
      </c>
    </row>
    <row r="417" spans="5:6" ht="22.5" customHeight="1">
      <c r="E417" s="2" t="s">
        <v>702</v>
      </c>
      <c r="F417" s="2" t="s">
        <v>702</v>
      </c>
    </row>
    <row r="418" spans="5:6" ht="22.5" customHeight="1">
      <c r="E418" s="2" t="s">
        <v>1173</v>
      </c>
      <c r="F418" s="2" t="s">
        <v>1173</v>
      </c>
    </row>
    <row r="419" spans="5:6" ht="22.5" customHeight="1">
      <c r="E419" s="2" t="s">
        <v>1174</v>
      </c>
      <c r="F419" s="2" t="s">
        <v>1174</v>
      </c>
    </row>
    <row r="420" spans="5:6" ht="22.5" customHeight="1">
      <c r="E420" s="2" t="s">
        <v>796</v>
      </c>
      <c r="F420" s="2" t="s">
        <v>703</v>
      </c>
    </row>
    <row r="421" spans="5:6" ht="22.5" customHeight="1">
      <c r="E421" s="2" t="s">
        <v>1175</v>
      </c>
      <c r="F421" s="2" t="s">
        <v>1175</v>
      </c>
    </row>
    <row r="422" spans="5:6" ht="22.5" customHeight="1">
      <c r="E422" s="2" t="s">
        <v>1176</v>
      </c>
      <c r="F422" s="2" t="s">
        <v>1176</v>
      </c>
    </row>
    <row r="423" spans="5:6" ht="22.5" customHeight="1">
      <c r="E423" s="2" t="s">
        <v>1177</v>
      </c>
      <c r="F423" s="2" t="s">
        <v>1177</v>
      </c>
    </row>
    <row r="424" spans="5:6" ht="22.5" customHeight="1">
      <c r="E424" s="2" t="s">
        <v>1178</v>
      </c>
      <c r="F424" s="2" t="s">
        <v>1178</v>
      </c>
    </row>
    <row r="425" spans="5:6" ht="22.5" customHeight="1">
      <c r="E425" s="2" t="s">
        <v>1179</v>
      </c>
      <c r="F425" s="2" t="s">
        <v>1179</v>
      </c>
    </row>
    <row r="426" spans="5:6" ht="22.5" customHeight="1">
      <c r="E426" s="2" t="s">
        <v>797</v>
      </c>
      <c r="F426" s="2" t="s">
        <v>704</v>
      </c>
    </row>
    <row r="427" spans="5:6" ht="22.5" customHeight="1">
      <c r="E427" s="2" t="s">
        <v>1180</v>
      </c>
      <c r="F427" s="2" t="s">
        <v>1180</v>
      </c>
    </row>
    <row r="428" spans="5:6" ht="22.5" customHeight="1">
      <c r="E428" s="2" t="s">
        <v>705</v>
      </c>
      <c r="F428" s="2" t="s">
        <v>705</v>
      </c>
    </row>
    <row r="429" spans="5:6" ht="22.5" customHeight="1">
      <c r="E429" s="2" t="s">
        <v>1181</v>
      </c>
      <c r="F429" s="2" t="s">
        <v>1181</v>
      </c>
    </row>
    <row r="430" spans="5:6" ht="22.5" customHeight="1">
      <c r="E430" s="2" t="s">
        <v>1182</v>
      </c>
      <c r="F430" s="2" t="s">
        <v>1182</v>
      </c>
    </row>
    <row r="431" spans="5:6" ht="22.5" customHeight="1">
      <c r="E431" s="2" t="s">
        <v>1183</v>
      </c>
      <c r="F431" s="2" t="s">
        <v>1183</v>
      </c>
    </row>
    <row r="432" spans="5:6" ht="22.5" customHeight="1">
      <c r="E432" s="2" t="s">
        <v>1184</v>
      </c>
      <c r="F432" s="2" t="s">
        <v>1184</v>
      </c>
    </row>
    <row r="433" spans="5:6" ht="22.5" customHeight="1">
      <c r="E433" s="2" t="s">
        <v>1185</v>
      </c>
      <c r="F433" s="2" t="s">
        <v>1185</v>
      </c>
    </row>
    <row r="434" spans="5:6" ht="22.5" customHeight="1">
      <c r="E434" s="2" t="s">
        <v>1186</v>
      </c>
      <c r="F434" s="2" t="s">
        <v>1186</v>
      </c>
    </row>
    <row r="435" spans="5:6" ht="22.5" customHeight="1">
      <c r="E435" s="2" t="s">
        <v>1187</v>
      </c>
      <c r="F435" s="2" t="s">
        <v>1188</v>
      </c>
    </row>
    <row r="436" spans="5:6" ht="22.5" customHeight="1">
      <c r="E436" s="2" t="s">
        <v>1189</v>
      </c>
      <c r="F436" s="2" t="s">
        <v>1189</v>
      </c>
    </row>
    <row r="437" spans="5:6" ht="22.5" customHeight="1">
      <c r="E437" s="2" t="s">
        <v>1190</v>
      </c>
      <c r="F437" s="2" t="s">
        <v>1190</v>
      </c>
    </row>
    <row r="438" spans="5:6" ht="22.5" customHeight="1">
      <c r="E438" s="2" t="s">
        <v>706</v>
      </c>
      <c r="F438" s="2" t="s">
        <v>706</v>
      </c>
    </row>
    <row r="439" spans="5:6" ht="22.5" customHeight="1">
      <c r="E439" s="2" t="s">
        <v>798</v>
      </c>
      <c r="F439" s="2" t="s">
        <v>707</v>
      </c>
    </row>
    <row r="440" spans="5:6" ht="22.5" customHeight="1">
      <c r="E440" s="2" t="s">
        <v>1191</v>
      </c>
      <c r="F440" s="2" t="s">
        <v>1191</v>
      </c>
    </row>
    <row r="441" spans="5:6" ht="22.5" customHeight="1">
      <c r="E441" s="2" t="s">
        <v>1192</v>
      </c>
      <c r="F441" s="2" t="s">
        <v>1192</v>
      </c>
    </row>
    <row r="442" spans="5:6" ht="22.5" customHeight="1">
      <c r="E442" s="2" t="s">
        <v>1193</v>
      </c>
      <c r="F442" s="2" t="s">
        <v>1193</v>
      </c>
    </row>
    <row r="443" spans="5:6" ht="22.5" customHeight="1">
      <c r="E443" s="2" t="s">
        <v>1194</v>
      </c>
      <c r="F443" s="2" t="s">
        <v>1194</v>
      </c>
    </row>
    <row r="444" spans="5:6" ht="22.5" customHeight="1">
      <c r="E444" s="2" t="s">
        <v>1195</v>
      </c>
      <c r="F444" s="2" t="s">
        <v>1195</v>
      </c>
    </row>
    <row r="445" spans="5:6" ht="22.5" customHeight="1">
      <c r="E445" s="2" t="s">
        <v>1196</v>
      </c>
      <c r="F445" s="2" t="s">
        <v>1196</v>
      </c>
    </row>
    <row r="446" spans="5:6" ht="22.5" customHeight="1">
      <c r="E446" s="2" t="s">
        <v>1197</v>
      </c>
      <c r="F446" s="2" t="s">
        <v>1197</v>
      </c>
    </row>
    <row r="447" spans="5:6" ht="22.5" customHeight="1">
      <c r="E447" s="2" t="s">
        <v>1198</v>
      </c>
      <c r="F447" s="2" t="s">
        <v>1198</v>
      </c>
    </row>
    <row r="448" spans="5:6" ht="22.5" customHeight="1">
      <c r="E448" s="2" t="s">
        <v>1199</v>
      </c>
      <c r="F448" s="2" t="s">
        <v>1199</v>
      </c>
    </row>
    <row r="449" spans="5:6" ht="22.5" customHeight="1">
      <c r="E449" s="2" t="s">
        <v>1200</v>
      </c>
      <c r="F449" s="2" t="s">
        <v>1200</v>
      </c>
    </row>
    <row r="450" spans="5:6" ht="22.5" customHeight="1">
      <c r="E450" s="2" t="s">
        <v>799</v>
      </c>
      <c r="F450" s="2" t="s">
        <v>708</v>
      </c>
    </row>
    <row r="451" spans="5:6" ht="22.5" customHeight="1">
      <c r="E451" s="2" t="s">
        <v>800</v>
      </c>
      <c r="F451" s="2" t="s">
        <v>709</v>
      </c>
    </row>
    <row r="452" spans="5:6" ht="22.5" customHeight="1">
      <c r="E452" s="2" t="s">
        <v>1201</v>
      </c>
      <c r="F452" s="2" t="s">
        <v>1201</v>
      </c>
    </row>
    <row r="453" spans="5:6" ht="22.5" customHeight="1">
      <c r="E453" s="2" t="s">
        <v>320</v>
      </c>
      <c r="F453" s="2" t="s">
        <v>320</v>
      </c>
    </row>
    <row r="454" spans="5:6" ht="22.5" customHeight="1">
      <c r="E454" s="2" t="s">
        <v>710</v>
      </c>
      <c r="F454" s="2" t="s">
        <v>710</v>
      </c>
    </row>
    <row r="455" spans="5:6" ht="22.5" customHeight="1">
      <c r="E455" s="2" t="s">
        <v>1202</v>
      </c>
      <c r="F455" s="2" t="s">
        <v>1202</v>
      </c>
    </row>
    <row r="456" spans="5:6" ht="22.5" customHeight="1">
      <c r="E456" s="2" t="s">
        <v>1203</v>
      </c>
      <c r="F456" s="2" t="s">
        <v>1203</v>
      </c>
    </row>
    <row r="457" spans="5:6" ht="22.5" customHeight="1">
      <c r="E457" s="2" t="s">
        <v>326</v>
      </c>
      <c r="F457" s="2" t="s">
        <v>327</v>
      </c>
    </row>
    <row r="458" spans="5:6" ht="22.5" customHeight="1">
      <c r="E458" s="2" t="s">
        <v>711</v>
      </c>
      <c r="F458" s="2" t="s">
        <v>711</v>
      </c>
    </row>
    <row r="459" spans="5:6" ht="22.5" customHeight="1">
      <c r="E459" s="2" t="s">
        <v>712</v>
      </c>
      <c r="F459" s="2" t="s">
        <v>712</v>
      </c>
    </row>
    <row r="460" spans="5:6" ht="22.5" customHeight="1">
      <c r="E460" s="2" t="s">
        <v>713</v>
      </c>
      <c r="F460" s="2" t="s">
        <v>713</v>
      </c>
    </row>
    <row r="461" spans="5:6" ht="22.5" customHeight="1">
      <c r="E461" s="2" t="s">
        <v>1204</v>
      </c>
      <c r="F461" s="2" t="s">
        <v>1204</v>
      </c>
    </row>
    <row r="462" spans="5:6" ht="22.5" customHeight="1">
      <c r="E462" s="2" t="s">
        <v>1205</v>
      </c>
      <c r="F462" s="2" t="s">
        <v>1206</v>
      </c>
    </row>
    <row r="463" spans="5:6" ht="22.5" customHeight="1">
      <c r="E463" s="2" t="s">
        <v>714</v>
      </c>
      <c r="F463" s="2" t="s">
        <v>714</v>
      </c>
    </row>
    <row r="464" spans="5:6" ht="22.5" customHeight="1">
      <c r="E464" s="2" t="s">
        <v>1207</v>
      </c>
      <c r="F464" s="2" t="s">
        <v>1207</v>
      </c>
    </row>
    <row r="465" spans="5:6" ht="22.5" customHeight="1">
      <c r="E465" s="2" t="s">
        <v>1208</v>
      </c>
      <c r="F465" s="2" t="s">
        <v>1208</v>
      </c>
    </row>
    <row r="466" spans="5:6" ht="22.5" customHeight="1">
      <c r="E466" s="2" t="s">
        <v>1209</v>
      </c>
      <c r="F466" s="2" t="s">
        <v>1209</v>
      </c>
    </row>
    <row r="467" spans="5:6" ht="22.5" customHeight="1">
      <c r="E467" s="2" t="s">
        <v>801</v>
      </c>
      <c r="F467" s="2" t="s">
        <v>715</v>
      </c>
    </row>
    <row r="468" spans="5:6" ht="22.5" customHeight="1">
      <c r="E468" s="2" t="s">
        <v>348</v>
      </c>
      <c r="F468" s="2" t="s">
        <v>349</v>
      </c>
    </row>
    <row r="469" spans="5:6" ht="22.5" customHeight="1">
      <c r="E469" s="2" t="s">
        <v>716</v>
      </c>
      <c r="F469" s="2" t="s">
        <v>716</v>
      </c>
    </row>
    <row r="470" spans="5:6" ht="22.5" customHeight="1">
      <c r="E470" s="2" t="s">
        <v>717</v>
      </c>
      <c r="F470" s="2" t="s">
        <v>717</v>
      </c>
    </row>
    <row r="471" spans="5:6" ht="22.5" customHeight="1">
      <c r="E471" s="2" t="s">
        <v>1210</v>
      </c>
      <c r="F471" s="2" t="s">
        <v>1210</v>
      </c>
    </row>
    <row r="472" spans="5:6" ht="22.5" customHeight="1">
      <c r="E472" s="2" t="s">
        <v>718</v>
      </c>
      <c r="F472" s="2" t="s">
        <v>718</v>
      </c>
    </row>
    <row r="473" spans="5:6" ht="22.5" customHeight="1">
      <c r="E473" s="2" t="s">
        <v>1211</v>
      </c>
      <c r="F473" s="2" t="s">
        <v>1212</v>
      </c>
    </row>
    <row r="474" spans="5:6" ht="22.5" customHeight="1">
      <c r="E474" s="2" t="s">
        <v>1213</v>
      </c>
      <c r="F474" s="2" t="s">
        <v>1213</v>
      </c>
    </row>
    <row r="475" spans="5:6" ht="22.5" customHeight="1">
      <c r="E475" s="2" t="s">
        <v>316</v>
      </c>
      <c r="F475" s="2" t="s">
        <v>317</v>
      </c>
    </row>
    <row r="476" spans="5:6" ht="22.5" customHeight="1">
      <c r="E476" s="2" t="s">
        <v>719</v>
      </c>
      <c r="F476" s="2" t="s">
        <v>719</v>
      </c>
    </row>
    <row r="477" spans="5:6" ht="22.5" customHeight="1">
      <c r="E477" s="2" t="s">
        <v>1214</v>
      </c>
      <c r="F477" s="2" t="s">
        <v>1214</v>
      </c>
    </row>
    <row r="478" spans="5:6" ht="22.5" customHeight="1">
      <c r="E478" s="2" t="s">
        <v>1215</v>
      </c>
      <c r="F478" s="2" t="s">
        <v>1215</v>
      </c>
    </row>
    <row r="479" spans="5:6" ht="22.5" customHeight="1">
      <c r="E479" s="2" t="s">
        <v>1216</v>
      </c>
      <c r="F479" s="2" t="s">
        <v>1216</v>
      </c>
    </row>
    <row r="480" spans="5:6" ht="22.5" customHeight="1">
      <c r="E480" s="2" t="s">
        <v>1217</v>
      </c>
      <c r="F480" s="2" t="s">
        <v>1218</v>
      </c>
    </row>
    <row r="481" spans="5:6" ht="22.5" customHeight="1">
      <c r="E481" s="2" t="s">
        <v>1219</v>
      </c>
      <c r="F481" s="2" t="s">
        <v>1219</v>
      </c>
    </row>
    <row r="482" spans="5:6" ht="22.5" customHeight="1">
      <c r="E482" s="2" t="s">
        <v>1220</v>
      </c>
      <c r="F482" s="2" t="s">
        <v>1220</v>
      </c>
    </row>
    <row r="483" spans="5:6" ht="22.5" customHeight="1">
      <c r="E483" s="2" t="s">
        <v>1221</v>
      </c>
      <c r="F483" s="2" t="s">
        <v>1221</v>
      </c>
    </row>
    <row r="484" spans="5:6" ht="22.5" customHeight="1">
      <c r="E484" s="2" t="s">
        <v>1222</v>
      </c>
      <c r="F484" s="2" t="s">
        <v>1222</v>
      </c>
    </row>
    <row r="485" spans="5:6" ht="22.5" customHeight="1">
      <c r="E485" s="2" t="s">
        <v>1223</v>
      </c>
      <c r="F485" s="2" t="s">
        <v>1223</v>
      </c>
    </row>
    <row r="486" spans="5:6" ht="22.5" customHeight="1">
      <c r="E486" s="2" t="s">
        <v>720</v>
      </c>
      <c r="F486" s="2" t="s">
        <v>720</v>
      </c>
    </row>
    <row r="487" spans="5:6" ht="22.5" customHeight="1">
      <c r="E487" s="2" t="s">
        <v>1224</v>
      </c>
      <c r="F487" s="2" t="s">
        <v>1224</v>
      </c>
    </row>
    <row r="488" spans="5:6" ht="22.5" customHeight="1">
      <c r="E488" s="2" t="s">
        <v>721</v>
      </c>
      <c r="F488" s="2" t="s">
        <v>721</v>
      </c>
    </row>
    <row r="489" spans="5:6" ht="22.5" customHeight="1">
      <c r="E489" s="2" t="s">
        <v>1225</v>
      </c>
      <c r="F489" s="2" t="s">
        <v>1226</v>
      </c>
    </row>
    <row r="490" spans="5:6" ht="22.5" customHeight="1">
      <c r="E490" s="2" t="s">
        <v>802</v>
      </c>
      <c r="F490" s="2" t="s">
        <v>722</v>
      </c>
    </row>
    <row r="491" spans="5:6" ht="22.5" customHeight="1">
      <c r="E491" s="2" t="s">
        <v>1227</v>
      </c>
      <c r="F491" s="2" t="s">
        <v>1227</v>
      </c>
    </row>
    <row r="492" spans="5:6" ht="22.5" customHeight="1">
      <c r="E492" s="2" t="s">
        <v>803</v>
      </c>
      <c r="F492" s="2" t="s">
        <v>723</v>
      </c>
    </row>
    <row r="493" spans="5:6" ht="22.5" customHeight="1">
      <c r="E493" s="2" t="s">
        <v>332</v>
      </c>
      <c r="F493" s="2" t="s">
        <v>332</v>
      </c>
    </row>
    <row r="494" spans="5:6" ht="22.5" customHeight="1">
      <c r="E494" s="2" t="s">
        <v>1228</v>
      </c>
      <c r="F494" s="2" t="s">
        <v>1228</v>
      </c>
    </row>
    <row r="495" spans="5:6" ht="22.5" customHeight="1">
      <c r="E495" s="2" t="s">
        <v>724</v>
      </c>
      <c r="F495" s="2" t="s">
        <v>724</v>
      </c>
    </row>
    <row r="496" spans="5:6" ht="22.5" customHeight="1">
      <c r="E496" s="2" t="s">
        <v>725</v>
      </c>
      <c r="F496" s="2" t="s">
        <v>725</v>
      </c>
    </row>
    <row r="497" spans="5:6" ht="22.5" customHeight="1">
      <c r="E497" s="2" t="s">
        <v>1229</v>
      </c>
      <c r="F497" s="2" t="s">
        <v>1229</v>
      </c>
    </row>
    <row r="498" spans="5:6" ht="22.5" customHeight="1">
      <c r="E498" s="2" t="s">
        <v>1230</v>
      </c>
      <c r="F498" s="2" t="s">
        <v>1230</v>
      </c>
    </row>
    <row r="499" spans="5:6" ht="22.5" customHeight="1">
      <c r="E499" s="2" t="s">
        <v>1231</v>
      </c>
      <c r="F499" s="2" t="s">
        <v>1231</v>
      </c>
    </row>
    <row r="500" spans="5:6" ht="22.5" customHeight="1">
      <c r="E500" s="2" t="s">
        <v>1147</v>
      </c>
      <c r="F500" s="2" t="s">
        <v>1146</v>
      </c>
    </row>
    <row r="501" spans="5:6" ht="22.5" customHeight="1">
      <c r="E501" s="2" t="s">
        <v>1232</v>
      </c>
      <c r="F501" s="2" t="s">
        <v>785</v>
      </c>
    </row>
    <row r="502" spans="5:6" ht="22.5" customHeight="1">
      <c r="E502" s="2" t="s">
        <v>726</v>
      </c>
      <c r="F502" s="2" t="s">
        <v>726</v>
      </c>
    </row>
    <row r="503" spans="5:6" ht="22.5" customHeight="1">
      <c r="E503" s="2" t="s">
        <v>1233</v>
      </c>
      <c r="F503" s="2" t="s">
        <v>1233</v>
      </c>
    </row>
    <row r="504" spans="5:6" ht="22.5" customHeight="1">
      <c r="E504" s="2" t="s">
        <v>526</v>
      </c>
      <c r="F504" s="2" t="s">
        <v>527</v>
      </c>
    </row>
    <row r="505" spans="5:6" ht="22.5" customHeight="1">
      <c r="E505" s="2" t="s">
        <v>1234</v>
      </c>
      <c r="F505" s="2" t="s">
        <v>1234</v>
      </c>
    </row>
    <row r="506" spans="5:6" ht="22.5" customHeight="1">
      <c r="E506" s="2" t="s">
        <v>330</v>
      </c>
      <c r="F506" s="2" t="s">
        <v>330</v>
      </c>
    </row>
    <row r="507" spans="5:6" ht="22.5" customHeight="1">
      <c r="E507" s="2" t="s">
        <v>525</v>
      </c>
      <c r="F507" s="2" t="s">
        <v>525</v>
      </c>
    </row>
    <row r="508" spans="5:6" ht="22.5" customHeight="1">
      <c r="E508" s="2" t="s">
        <v>1235</v>
      </c>
      <c r="F508" s="2" t="s">
        <v>1236</v>
      </c>
    </row>
    <row r="509" spans="5:6" ht="22.5" customHeight="1">
      <c r="E509" s="2" t="s">
        <v>1237</v>
      </c>
      <c r="F509" s="2" t="s">
        <v>1237</v>
      </c>
    </row>
    <row r="510" spans="5:6" ht="22.5" customHeight="1">
      <c r="E510" s="2" t="s">
        <v>1238</v>
      </c>
      <c r="F510" s="2" t="s">
        <v>1238</v>
      </c>
    </row>
    <row r="511" spans="5:6" ht="22.5" customHeight="1">
      <c r="E511" s="2" t="s">
        <v>1239</v>
      </c>
      <c r="F511" s="2" t="s">
        <v>1239</v>
      </c>
    </row>
    <row r="512" spans="5:6" ht="22.5" customHeight="1">
      <c r="E512" s="2" t="s">
        <v>1240</v>
      </c>
      <c r="F512" s="2" t="s">
        <v>1240</v>
      </c>
    </row>
    <row r="513" spans="5:6" ht="22.5" customHeight="1">
      <c r="E513" s="2" t="s">
        <v>1241</v>
      </c>
      <c r="F513" s="2" t="s">
        <v>1241</v>
      </c>
    </row>
    <row r="514" spans="5:6" ht="22.5" customHeight="1">
      <c r="E514" s="2" t="s">
        <v>1242</v>
      </c>
      <c r="F514" s="2" t="s">
        <v>1242</v>
      </c>
    </row>
    <row r="515" spans="5:6" ht="22.5" customHeight="1">
      <c r="E515" s="2" t="s">
        <v>1243</v>
      </c>
      <c r="F515" s="2" t="s">
        <v>1243</v>
      </c>
    </row>
    <row r="516" spans="5:6" ht="22.5" customHeight="1">
      <c r="E516" s="2" t="s">
        <v>1244</v>
      </c>
      <c r="F516" s="2" t="s">
        <v>1244</v>
      </c>
    </row>
    <row r="517" spans="5:6" ht="22.5" customHeight="1">
      <c r="E517" s="2" t="s">
        <v>804</v>
      </c>
      <c r="F517" s="2" t="s">
        <v>727</v>
      </c>
    </row>
    <row r="518" spans="5:6" ht="22.5" customHeight="1">
      <c r="E518" s="2" t="s">
        <v>1245</v>
      </c>
      <c r="F518" s="2" t="s">
        <v>1245</v>
      </c>
    </row>
    <row r="519" spans="5:6" ht="22.5" customHeight="1">
      <c r="E519" s="2" t="s">
        <v>1246</v>
      </c>
      <c r="F519" s="2" t="s">
        <v>1246</v>
      </c>
    </row>
    <row r="520" spans="5:6" ht="22.5" customHeight="1">
      <c r="E520" s="2" t="s">
        <v>1247</v>
      </c>
      <c r="F520" s="2" t="s">
        <v>1247</v>
      </c>
    </row>
    <row r="521" spans="5:6" ht="22.5" customHeight="1">
      <c r="E521" s="2" t="s">
        <v>1248</v>
      </c>
      <c r="F521" s="2" t="s">
        <v>1248</v>
      </c>
    </row>
    <row r="522" spans="5:6" ht="22.5" customHeight="1">
      <c r="E522" s="2" t="s">
        <v>331</v>
      </c>
      <c r="F522" s="2" t="s">
        <v>331</v>
      </c>
    </row>
    <row r="523" spans="5:6" ht="22.5" customHeight="1">
      <c r="E523" s="2" t="s">
        <v>728</v>
      </c>
      <c r="F523" s="2" t="s">
        <v>728</v>
      </c>
    </row>
    <row r="524" spans="5:6" ht="22.5" customHeight="1">
      <c r="E524" s="2" t="s">
        <v>1249</v>
      </c>
      <c r="F524" s="2" t="s">
        <v>1249</v>
      </c>
    </row>
    <row r="525" spans="5:6" ht="22.5" customHeight="1">
      <c r="E525" s="2" t="s">
        <v>1250</v>
      </c>
      <c r="F525" s="2" t="s">
        <v>1250</v>
      </c>
    </row>
    <row r="526" spans="5:6" ht="22.5" customHeight="1">
      <c r="E526" s="2" t="s">
        <v>1251</v>
      </c>
      <c r="F526" s="2" t="s">
        <v>1251</v>
      </c>
    </row>
    <row r="527" spans="5:6" ht="22.5" customHeight="1">
      <c r="E527" s="2" t="s">
        <v>1252</v>
      </c>
      <c r="F527" s="2" t="s">
        <v>1252</v>
      </c>
    </row>
    <row r="528" spans="5:6" ht="22.5" customHeight="1">
      <c r="E528" s="2" t="s">
        <v>729</v>
      </c>
      <c r="F528" s="2" t="s">
        <v>729</v>
      </c>
    </row>
    <row r="529" spans="5:6" ht="22.5" customHeight="1">
      <c r="E529" s="2" t="s">
        <v>1253</v>
      </c>
      <c r="F529" s="2" t="s">
        <v>1253</v>
      </c>
    </row>
    <row r="530" spans="5:6" ht="22.5" customHeight="1">
      <c r="E530" s="2" t="s">
        <v>1254</v>
      </c>
      <c r="F530" s="2" t="s">
        <v>1254</v>
      </c>
    </row>
    <row r="531" spans="5:6" ht="22.5" customHeight="1">
      <c r="E531" s="2" t="s">
        <v>1255</v>
      </c>
      <c r="F531" s="2" t="s">
        <v>1255</v>
      </c>
    </row>
    <row r="532" spans="5:6" ht="22.5" customHeight="1">
      <c r="E532" s="2" t="s">
        <v>805</v>
      </c>
      <c r="F532" s="2" t="s">
        <v>730</v>
      </c>
    </row>
    <row r="533" spans="5:6" ht="22.5" customHeight="1">
      <c r="E533" s="2" t="s">
        <v>1256</v>
      </c>
      <c r="F533" s="2" t="s">
        <v>1256</v>
      </c>
    </row>
    <row r="534" spans="5:6" ht="22.5" customHeight="1">
      <c r="E534" s="2" t="s">
        <v>806</v>
      </c>
      <c r="F534" s="2" t="s">
        <v>731</v>
      </c>
    </row>
    <row r="535" spans="5:6" ht="22.5" customHeight="1">
      <c r="E535" s="2" t="s">
        <v>1257</v>
      </c>
      <c r="F535" s="2" t="s">
        <v>1257</v>
      </c>
    </row>
    <row r="536" spans="5:6" ht="22.5" customHeight="1">
      <c r="E536" s="2" t="s">
        <v>1258</v>
      </c>
      <c r="F536" s="2" t="s">
        <v>1258</v>
      </c>
    </row>
    <row r="537" spans="5:6" ht="22.5" customHeight="1">
      <c r="E537" s="2" t="s">
        <v>1259</v>
      </c>
      <c r="F537" s="2" t="s">
        <v>1260</v>
      </c>
    </row>
    <row r="538" spans="5:6" ht="22.5" customHeight="1">
      <c r="E538" s="2" t="s">
        <v>1261</v>
      </c>
      <c r="F538" s="2" t="s">
        <v>1261</v>
      </c>
    </row>
    <row r="539" spans="5:6" ht="22.5" customHeight="1">
      <c r="E539" s="2" t="s">
        <v>583</v>
      </c>
      <c r="F539" s="2" t="s">
        <v>583</v>
      </c>
    </row>
    <row r="540" spans="5:6" ht="22.5" customHeight="1">
      <c r="E540" s="2" t="s">
        <v>1262</v>
      </c>
      <c r="F540" s="2" t="s">
        <v>1262</v>
      </c>
    </row>
  </sheetData>
  <sheetProtection password="D6E3" sheet="1" objects="1" scenarios="1" selectLockedCells="1" selectUnlockedCells="1"/>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Ban_Cong_bo</vt:lpstr>
      <vt:lpstr>Chi_tiet_san_pham</vt:lpstr>
      <vt:lpstr>Chi_tieu_chat_luong_chu_yeu</vt:lpstr>
      <vt:lpstr>Chi_tieu_vi_sinh_vat</vt:lpstr>
      <vt:lpstr>Ham_luong_kim_loai_nang</vt:lpstr>
      <vt:lpstr>Ham_luong_hoa_chat</vt:lpstr>
      <vt:lpstr>Ke_Hoach_Kiem_soat</vt:lpstr>
      <vt:lpstr>Danh_muc</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ThuyNTT5</dc:creator>
  <cp:lastModifiedBy>GUONGVT</cp:lastModifiedBy>
  <dcterms:created xsi:type="dcterms:W3CDTF">2014-06-09T03:04:29Z</dcterms:created>
  <dcterms:modified xsi:type="dcterms:W3CDTF">2015-05-06T02:41:09Z</dcterms:modified>
</cp:coreProperties>
</file>